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SpeedtestCore\"/>
    </mc:Choice>
  </mc:AlternateContent>
  <xr:revisionPtr revIDLastSave="0" documentId="13_ncr:1_{958098D4-9B00-4445-8E09-14E92A0069D8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Chart" sheetId="5" r:id="rId1"/>
    <sheet name="DailyAvg" sheetId="3" state="hidden" r:id="rId2"/>
    <sheet name="Data" sheetId="2" r:id="rId3"/>
  </sheets>
  <definedNames>
    <definedName name="_xlcn.WorksheetConnection_Status.xlsxlog" hidden="1">log[]</definedName>
    <definedName name="ExternalData_1" localSheetId="2" hidden="1">Data!$D$1:$O$2</definedName>
    <definedName name="FilePath">DailyAvg!$B$1</definedName>
  </definedNames>
  <calcPr calcId="191029"/>
  <pivotCaches>
    <pivotCache cacheId="10" r:id="rId4"/>
    <pivotCache cacheId="13" r:id="rId5"/>
    <pivotCache cacheId="16" r:id="rId6"/>
    <pivotCache cacheId="19" r:id="rId7"/>
    <pivotCache cacheId="2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og" name="log" connection="WorksheetConnection_Status.xlsx!lo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" l="1"/>
  <c r="B2" i="2"/>
  <c r="C2" i="2"/>
  <c r="B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11E56-04EA-4F0B-9F6D-30A9BF86E055}" keepAlive="1" interval="60" name="Query - log" description="Connection to the 'log' query in the workbook." type="5" refreshedVersion="6" background="1" refreshOnLoad="1" saveData="1">
    <dbPr connection="Provider=Microsoft.Mashup.OleDb.1;Data Source=$Workbook$;Location=log;Extended Properties=&quot;&quot;" command="SELECT * FROM [log]"/>
  </connection>
  <connection id="2" xr16:uid="{55E5BF9B-8BCD-45F9-8249-7EE30453E4D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6212E5D-EDC3-4FF9-940E-CCE105F867F5}" name="WorksheetConnection_Status.xlsx!log" type="102" refreshedVersion="6" minRefreshableVersion="5">
    <extLst>
      <ext xmlns:x15="http://schemas.microsoft.com/office/spreadsheetml/2010/11/main" uri="{DE250136-89BD-433C-8126-D09CA5730AF9}">
        <x15:connection id="log" autoDelete="1">
          <x15:rangePr sourceName="_xlcn.WorksheetConnection_Status.xlsxlog"/>
        </x15:connection>
      </ext>
    </extLst>
  </connection>
</connections>
</file>

<file path=xl/sharedStrings.xml><?xml version="1.0" encoding="utf-8"?>
<sst xmlns="http://schemas.openxmlformats.org/spreadsheetml/2006/main" count="35" uniqueCount="23">
  <si>
    <t>Timespan</t>
  </si>
  <si>
    <t>Date</t>
  </si>
  <si>
    <t>Time</t>
  </si>
  <si>
    <t>Download</t>
  </si>
  <si>
    <t>Upload</t>
  </si>
  <si>
    <t>Row Labels</t>
  </si>
  <si>
    <t>Month</t>
  </si>
  <si>
    <t>Avg Download</t>
  </si>
  <si>
    <t>Avg Upload</t>
  </si>
  <si>
    <t>IP</t>
  </si>
  <si>
    <t>Região Servidor</t>
  </si>
  <si>
    <t>Região Teste</t>
  </si>
  <si>
    <t>Operador</t>
  </si>
  <si>
    <t>Latencia (ms)</t>
  </si>
  <si>
    <t>Jitter (ms)</t>
  </si>
  <si>
    <t>Perda (%)</t>
  </si>
  <si>
    <t>Average of Download</t>
  </si>
  <si>
    <t>Average of Upload</t>
  </si>
  <si>
    <t>Grand Total</t>
  </si>
  <si>
    <t>Hour</t>
  </si>
  <si>
    <t>Weekday</t>
  </si>
  <si>
    <t>7 - SAB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</si>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</sst>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mmmm\,\ yyyy;@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2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0" fillId="0" borderId="0" xfId="0" applyNumberFormat="1"/>
    <xf numFmtId="9" fontId="0" fillId="0" borderId="0" xfId="0" applyNumberFormat="1"/>
    <xf numFmtId="0" fontId="2" fillId="0" borderId="0" xfId="0" applyFont="1"/>
    <xf numFmtId="21" fontId="0" fillId="0" borderId="0" xfId="0" applyNumberFormat="1" applyAlignment="1">
      <alignment horizontal="left" indent="1"/>
    </xf>
    <xf numFmtId="2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0" fontId="0" fillId="0" borderId="0" xfId="0" applyNumberFormat="1"/>
  </cellXfs>
  <cellStyles count="1">
    <cellStyle name="Normal" xfId="0" builtinId="0"/>
  </cellStyles>
  <dxfs count="22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2" formatCode="0.00"/>
    </dxf>
    <dxf>
      <numFmt numFmtId="2" formatCode="0.00"/>
    </dxf>
    <dxf>
      <numFmt numFmtId="164" formatCode="[$-F400]h:mm:ss\ AM/PM"/>
    </dxf>
    <dxf>
      <numFmt numFmtId="19" formatCode="dd/mm/yyyy"/>
    </dxf>
    <dxf>
      <numFmt numFmtId="27" formatCode="dd/mm/yyyy\ hh:mm"/>
    </dxf>
    <dxf>
      <numFmt numFmtId="0" formatCode="General"/>
    </dxf>
    <dxf>
      <numFmt numFmtId="165" formatCode="mmmm\,\ yyyy;@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[Status.xlsm]DailyAvg!Daily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DailyAvg!$F$3</c:f>
              <c:strCache>
                <c:ptCount val="1"/>
                <c:pt idx="0">
                  <c:v>Average of Download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DailyAvg!$E$4</c:f>
              <c:strCache>
                <c:ptCount val="1"/>
                <c:pt idx="0">
                  <c:v>00:00:00</c:v>
                </c:pt>
              </c:strCache>
            </c:strRef>
          </c:cat>
          <c:val>
            <c:numRef>
              <c:f>DailyAvg!$F$4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8-4810-AC41-D804975C7FF6}"/>
            </c:ext>
          </c:extLst>
        </c:ser>
        <c:ser>
          <c:idx val="1"/>
          <c:order val="1"/>
          <c:tx>
            <c:strRef>
              <c:f>DailyAvg!$G$3</c:f>
              <c:strCache>
                <c:ptCount val="1"/>
                <c:pt idx="0">
                  <c:v>Average of Upload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DailyAvg!$E$4</c:f>
              <c:strCache>
                <c:ptCount val="1"/>
                <c:pt idx="0">
                  <c:v>00:00:00</c:v>
                </c:pt>
              </c:strCache>
            </c:strRef>
          </c:cat>
          <c:val>
            <c:numRef>
              <c:f>DailyAvg!$G$4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8-4810-AC41-D804975C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45200"/>
        <c:axId val="2125645856"/>
      </c:lineChart>
      <c:catAx>
        <c:axId val="212564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5645856"/>
        <c:crosses val="autoZero"/>
        <c:auto val="1"/>
        <c:lblAlgn val="ctr"/>
        <c:lblOffset val="100"/>
        <c:noMultiLvlLbl val="0"/>
      </c:catAx>
      <c:valAx>
        <c:axId val="21256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564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[Status.xlsm]DailyAvg!Monthly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DailyAvg!$B$3</c:f>
              <c:strCache>
                <c:ptCount val="1"/>
                <c:pt idx="0">
                  <c:v>Avg Download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DailyAvg!$A$4</c:f>
              <c:strCache>
                <c:ptCount val="1"/>
                <c:pt idx="0">
                  <c:v>janeiro, 1900</c:v>
                </c:pt>
              </c:strCache>
            </c:strRef>
          </c:cat>
          <c:val>
            <c:numRef>
              <c:f>DailyAvg!$B$4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7-4397-BE91-53DCD747A911}"/>
            </c:ext>
          </c:extLst>
        </c:ser>
        <c:ser>
          <c:idx val="1"/>
          <c:order val="1"/>
          <c:tx>
            <c:strRef>
              <c:f>DailyAvg!$C$3</c:f>
              <c:strCache>
                <c:ptCount val="1"/>
                <c:pt idx="0">
                  <c:v>Avg Upload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DailyAvg!$A$4</c:f>
              <c:strCache>
                <c:ptCount val="1"/>
                <c:pt idx="0">
                  <c:v>janeiro, 1900</c:v>
                </c:pt>
              </c:strCache>
            </c:strRef>
          </c:cat>
          <c:val>
            <c:numRef>
              <c:f>DailyAvg!$C$4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67-4397-BE91-53DCD747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115120"/>
        <c:axId val="2137114464"/>
      </c:barChart>
      <c:catAx>
        <c:axId val="213711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7114464"/>
        <c:crosses val="autoZero"/>
        <c:auto val="1"/>
        <c:lblAlgn val="ctr"/>
        <c:lblOffset val="100"/>
        <c:noMultiLvlLbl val="0"/>
      </c:catAx>
      <c:valAx>
        <c:axId val="21371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711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[Status.xlsm]DailyAvg!HourAvg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DailyAvg!$N$3</c:f>
              <c:strCache>
                <c:ptCount val="1"/>
                <c:pt idx="0">
                  <c:v>Average of Download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DailyAvg!$M$4</c:f>
              <c:strCache>
                <c:ptCount val="1"/>
                <c:pt idx="0">
                  <c:v>00:00:00</c:v>
                </c:pt>
              </c:strCache>
            </c:strRef>
          </c:cat>
          <c:val>
            <c:numRef>
              <c:f>DailyAvg!$N$4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E-40DB-B445-50DF4679E8F3}"/>
            </c:ext>
          </c:extLst>
        </c:ser>
        <c:ser>
          <c:idx val="1"/>
          <c:order val="1"/>
          <c:tx>
            <c:strRef>
              <c:f>DailyAvg!$O$3</c:f>
              <c:strCache>
                <c:ptCount val="1"/>
                <c:pt idx="0">
                  <c:v>Average of Upload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DailyAvg!$M$4</c:f>
              <c:strCache>
                <c:ptCount val="1"/>
                <c:pt idx="0">
                  <c:v>00:00:00</c:v>
                </c:pt>
              </c:strCache>
            </c:strRef>
          </c:cat>
          <c:val>
            <c:numRef>
              <c:f>DailyAvg!$O$4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E-40DB-B445-50DF4679E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48648"/>
        <c:axId val="133447664"/>
      </c:lineChart>
      <c:catAx>
        <c:axId val="133448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447664"/>
        <c:crosses val="autoZero"/>
        <c:auto val="1"/>
        <c:lblAlgn val="ctr"/>
        <c:lblOffset val="100"/>
        <c:noMultiLvlLbl val="0"/>
      </c:catAx>
      <c:valAx>
        <c:axId val="1334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44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[Status.xlsm]DailyAvg!WeekDay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DailyAvg!$R$3</c:f>
              <c:strCache>
                <c:ptCount val="1"/>
                <c:pt idx="0">
                  <c:v>Average of Download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DailyAvg!$Q$4:$Q$5</c:f>
              <c:strCache>
                <c:ptCount val="1"/>
                <c:pt idx="0">
                  <c:v>7 - SAB</c:v>
                </c:pt>
              </c:strCache>
            </c:strRef>
          </c:cat>
          <c:val>
            <c:numRef>
              <c:f>DailyAvg!$R$4:$R$5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2-4674-B49D-CCF1151CCF71}"/>
            </c:ext>
          </c:extLst>
        </c:ser>
        <c:ser>
          <c:idx val="1"/>
          <c:order val="1"/>
          <c:tx>
            <c:strRef>
              <c:f>DailyAvg!$S$3</c:f>
              <c:strCache>
                <c:ptCount val="1"/>
                <c:pt idx="0">
                  <c:v>Average of Upload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DailyAvg!$Q$4:$Q$5</c:f>
              <c:strCache>
                <c:ptCount val="1"/>
                <c:pt idx="0">
                  <c:v>7 - SAB</c:v>
                </c:pt>
              </c:strCache>
            </c:strRef>
          </c:cat>
          <c:val>
            <c:numRef>
              <c:f>DailyAvg!$S$4:$S$5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2-4674-B49D-CCF1151CC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15192"/>
        <c:axId val="513715520"/>
      </c:barChart>
      <c:catAx>
        <c:axId val="51371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3715520"/>
        <c:crosses val="autoZero"/>
        <c:auto val="1"/>
        <c:lblAlgn val="ctr"/>
        <c:lblOffset val="100"/>
        <c:noMultiLvlLbl val="0"/>
      </c:catAx>
      <c:valAx>
        <c:axId val="5137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371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</xdr:colOff>
      <xdr:row>0</xdr:row>
      <xdr:rowOff>1</xdr:rowOff>
    </xdr:from>
    <xdr:to>
      <xdr:col>17</xdr:col>
      <xdr:colOff>327660</xdr:colOff>
      <xdr:row>15</xdr:row>
      <xdr:rowOff>45721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D5B4DA-8A97-4470-AA91-C14EF593C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34290</xdr:rowOff>
    </xdr:from>
    <xdr:to>
      <xdr:col>9</xdr:col>
      <xdr:colOff>60960</xdr:colOff>
      <xdr:row>27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8951E0B-ECF5-4C22-9DBB-B5FB8E602F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60960</xdr:colOff>
      <xdr:row>15</xdr:row>
      <xdr:rowOff>53340</xdr:rowOff>
    </xdr:from>
    <xdr:to>
      <xdr:col>17</xdr:col>
      <xdr:colOff>335280</xdr:colOff>
      <xdr:row>27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392146-1AF4-4420-B613-3188E024E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53340</xdr:colOff>
      <xdr:row>15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A02AAA6-7446-492C-B4A9-DE6C73077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Vinicius" refreshedDate="43992.948884375" backgroundQuery="1" createdVersion="6" refreshedVersion="6" minRefreshableVersion="3" recordCount="0" supportSubquery="1" supportAdvancedDrill="1" xr:uid="{88CF680C-5D9B-450A-9E79-084F915F262D}">
  <cacheSource type="external" connectionId="2"/>
  <cacheFields count="3">
    <cacheField name="[log].[Hour].[Hour]" caption="Hour" numFmtId="0" level="1">
      <sharedItems containsSemiMixedTypes="0" containsNonDate="0" containsDate="1" containsString="0" minDate="1899-12-30T00:00:00" maxDate="1899-12-31T00:00:00" count="1">
        <d v="1899-12-30T00:00:00"/>
      </sharedItems>
    </cacheField>
    <cacheField name="[Measures].[Average of Download]" caption="Average of Download" numFmtId="0" hierarchy="19" level="32767"/>
    <cacheField name="[Measures].[Average of Upload]" caption="Average of Upload" numFmtId="0" hierarchy="20" level="32767"/>
  </cacheFields>
  <cacheHierarchies count="21">
    <cacheHierarchy uniqueName="[log].[Hour]" caption="Hour" attribute="1" time="1" defaultMemberUniqueName="[log].[Hour].[All]" allUniqueName="[log].[Hour].[All]" dimensionUniqueName="[log]" displayFolder="" count="2" memberValueDatatype="7" unbalanced="0">
      <fieldsUsage count="2">
        <fieldUsage x="-1"/>
        <fieldUsage x="0"/>
      </fieldsUsage>
    </cacheHierarchy>
    <cacheHierarchy uniqueName="[log].[Month]" caption="Month" attribute="1" time="1" defaultMemberUniqueName="[log].[Month].[All]" allUniqueName="[log].[Month].[All]" dimensionUniqueName="[log]" displayFolder="" count="0" memberValueDatatype="7" unbalanced="0"/>
    <cacheHierarchy uniqueName="[log].[Weekday]" caption="Weekday" attribute="1" defaultMemberUniqueName="[log].[Weekday].[All]" allUniqueName="[log].[Weekday].[All]" dimensionUniqueName="[log]" displayFolder="" count="0" memberValueDatatype="130" unbalanced="0"/>
    <cacheHierarchy uniqueName="[log].[Timespan]" caption="Timespan" attribute="1" time="1" defaultMemberUniqueName="[log].[Timespan].[All]" allUniqueName="[log].[Timespan].[All]" dimensionUniqueName="[log]" displayFolder="" count="0" memberValueDatatype="7" unbalanced="0"/>
    <cacheHierarchy uniqueName="[log].[Date]" caption="Date" attribute="1" time="1" defaultMemberUniqueName="[log].[Date].[All]" allUniqueName="[log].[Date].[All]" dimensionUniqueName="[log]" displayFolder="" count="0" memberValueDatatype="7" unbalanced="0"/>
    <cacheHierarchy uniqueName="[log].[Time]" caption="Time" attribute="1" time="1" defaultMemberUniqueName="[log].[Time].[All]" allUniqueName="[log].[Time].[All]" dimensionUniqueName="[log]" displayFolder="" count="0" memberValueDatatype="7" unbalanced="0"/>
    <cacheHierarchy uniqueName="[log].[Download]" caption="Download" attribute="1" defaultMemberUniqueName="[log].[Download].[All]" allUniqueName="[log].[Download].[All]" dimensionUniqueName="[log]" displayFolder="" count="0" memberValueDatatype="20" unbalanced="0"/>
    <cacheHierarchy uniqueName="[log].[Upload]" caption="Upload" attribute="1" defaultMemberUniqueName="[log].[Upload].[All]" allUniqueName="[log].[Upload].[All]" dimensionUniqueName="[log]" displayFolder="" count="0" memberValueDatatype="20" unbalanced="0"/>
    <cacheHierarchy uniqueName="[log].[Latencia (ms)]" caption="Latencia (ms)" attribute="1" defaultMemberUniqueName="[log].[Latencia (ms)].[All]" allUniqueName="[log].[Latencia (ms)].[All]" dimensionUniqueName="[log]" displayFolder="" count="0" memberValueDatatype="20" unbalanced="0"/>
    <cacheHierarchy uniqueName="[log].[Jitter (ms)]" caption="Jitter (ms)" attribute="1" defaultMemberUniqueName="[log].[Jitter (ms)].[All]" allUniqueName="[log].[Jitter (ms)].[All]" dimensionUniqueName="[log]" displayFolder="" count="0" memberValueDatatype="20" unbalanced="0"/>
    <cacheHierarchy uniqueName="[log].[Perda (%)]" caption="Perda (%)" attribute="1" defaultMemberUniqueName="[log].[Perda (%)].[All]" allUniqueName="[log].[Perda (%)].[All]" dimensionUniqueName="[log]" displayFolder="" count="0" memberValueDatatype="20" unbalanced="0"/>
    <cacheHierarchy uniqueName="[log].[IP]" caption="IP" attribute="1" defaultMemberUniqueName="[log].[IP].[All]" allUniqueName="[log].[IP].[All]" dimensionUniqueName="[log]" displayFolder="" count="0" memberValueDatatype="20" unbalanced="0"/>
    <cacheHierarchy uniqueName="[log].[Região Servidor]" caption="Região Servidor" attribute="1" defaultMemberUniqueName="[log].[Região Servidor].[All]" allUniqueName="[log].[Região Servidor].[All]" dimensionUniqueName="[log]" displayFolder="" count="0" memberValueDatatype="130" unbalanced="0"/>
    <cacheHierarchy uniqueName="[log].[Região Teste]" caption="Região Teste" attribute="1" defaultMemberUniqueName="[log].[Região Teste].[All]" allUniqueName="[log].[Região Teste].[All]" dimensionUniqueName="[log]" displayFolder="" count="0" memberValueDatatype="130" unbalanced="0"/>
    <cacheHierarchy uniqueName="[log].[Operador]" caption="Operador" attribute="1" defaultMemberUniqueName="[log].[Operador].[All]" allUniqueName="[log].[Operador].[All]" dimensionUniqueName="[log]" displayFolder="" count="0" memberValueDatatype="130" unbalanced="0"/>
    <cacheHierarchy uniqueName="[Measures].[__XL_Count log]" caption="__XL_Count log" measure="1" displayFolder="" measureGroup="log" count="0" hidden="1"/>
    <cacheHierarchy uniqueName="[Measures].[__No measures defined]" caption="__No measures defined" measure="1" displayFolder="" count="0" hidden="1"/>
    <cacheHierarchy uniqueName="[Measures].[Sum of Download]" caption="Sum of Download" measure="1" displayFolder="" measureGroup="log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Upload]" caption="Sum of Upload" measure="1" displayFolder="" measureGroup="lo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ownload]" caption="Average of Download" measure="1" displayFolder="" measureGroup="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Upload]" caption="Average of Upload" measure="1" displayFolder="" measureGroup="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log" uniqueName="[log]" caption="log"/>
    <dimension measure="1" name="Measures" uniqueName="[Measures]" caption="Measures"/>
  </dimensions>
  <measureGroups count="1">
    <measureGroup name="log" caption="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Vinicius" refreshedDate="43992.948885185186" backgroundQuery="1" createdVersion="6" refreshedVersion="6" minRefreshableVersion="3" recordCount="0" supportSubquery="1" supportAdvancedDrill="1" xr:uid="{05ED8143-9050-4BDE-B08E-A32A2C2771FF}">
  <cacheSource type="external" connectionId="2"/>
  <cacheFields count="4">
    <cacheField name="[log].[Date].[Date]" caption="Date" numFmtId="0" hierarchy="4" level="1">
      <sharedItems containsSemiMixedTypes="0" containsNonDate="0" containsDate="1" containsString="0" minDate="1899-12-30T00:00:00" maxDate="1899-12-31T00:00:00" count="1">
        <d v="1899-12-30T00:00:00"/>
      </sharedItems>
    </cacheField>
    <cacheField name="[log].[Time].[Time]" caption="Time" numFmtId="0" hierarchy="5" level="1">
      <sharedItems containsSemiMixedTypes="0" containsNonDate="0" containsDate="1" containsString="0" minDate="1899-12-30T00:00:00" maxDate="1899-12-31T00:00:00" count="1">
        <d v="1899-12-30T00:00:00"/>
      </sharedItems>
    </cacheField>
    <cacheField name="[Measures].[Average of Download]" caption="Average of Download" numFmtId="0" hierarchy="19" level="32767"/>
    <cacheField name="[Measures].[Average of Upload]" caption="Average of Upload" numFmtId="0" hierarchy="20" level="32767"/>
  </cacheFields>
  <cacheHierarchies count="21">
    <cacheHierarchy uniqueName="[log].[Hour]" caption="Hour" attribute="1" time="1" defaultMemberUniqueName="[log].[Hour].[All]" allUniqueName="[log].[Hour].[All]" dimensionUniqueName="[log]" displayFolder="" count="0" memberValueDatatype="7" unbalanced="0"/>
    <cacheHierarchy uniqueName="[log].[Month]" caption="Month" attribute="1" time="1" defaultMemberUniqueName="[log].[Month].[All]" allUniqueName="[log].[Month].[All]" dimensionUniqueName="[log]" displayFolder="" count="0" memberValueDatatype="7" unbalanced="0"/>
    <cacheHierarchy uniqueName="[log].[Weekday]" caption="Weekday" attribute="1" defaultMemberUniqueName="[log].[Weekday].[All]" allUniqueName="[log].[Weekday].[All]" dimensionUniqueName="[log]" displayFolder="" count="0" memberValueDatatype="130" unbalanced="0"/>
    <cacheHierarchy uniqueName="[log].[Timespan]" caption="Timespan" attribute="1" time="1" defaultMemberUniqueName="[log].[Timespan].[All]" allUniqueName="[log].[Timespan].[All]" dimensionUniqueName="[log]" displayFolder="" count="0" memberValueDatatype="7" unbalanced="0"/>
    <cacheHierarchy uniqueName="[log].[Date]" caption="Date" attribute="1" time="1" defaultMemberUniqueName="[log].[Date].[All]" allUniqueName="[log].[Date].[All]" dimensionUniqueName="[log]" displayFolder="" count="2" memberValueDatatype="7" unbalanced="0">
      <fieldsUsage count="2">
        <fieldUsage x="-1"/>
        <fieldUsage x="0"/>
      </fieldsUsage>
    </cacheHierarchy>
    <cacheHierarchy uniqueName="[log].[Time]" caption="Time" attribute="1" time="1" defaultMemberUniqueName="[log].[Time].[All]" allUniqueName="[log].[Time].[All]" dimensionUniqueName="[log]" displayFolder="" count="2" memberValueDatatype="7" unbalanced="0">
      <fieldsUsage count="2">
        <fieldUsage x="-1"/>
        <fieldUsage x="1"/>
      </fieldsUsage>
    </cacheHierarchy>
    <cacheHierarchy uniqueName="[log].[Download]" caption="Download" attribute="1" defaultMemberUniqueName="[log].[Download].[All]" allUniqueName="[log].[Download].[All]" dimensionUniqueName="[log]" displayFolder="" count="0" memberValueDatatype="20" unbalanced="0"/>
    <cacheHierarchy uniqueName="[log].[Upload]" caption="Upload" attribute="1" defaultMemberUniqueName="[log].[Upload].[All]" allUniqueName="[log].[Upload].[All]" dimensionUniqueName="[log]" displayFolder="" count="0" memberValueDatatype="20" unbalanced="0"/>
    <cacheHierarchy uniqueName="[log].[Latencia (ms)]" caption="Latencia (ms)" attribute="1" defaultMemberUniqueName="[log].[Latencia (ms)].[All]" allUniqueName="[log].[Latencia (ms)].[All]" dimensionUniqueName="[log]" displayFolder="" count="0" memberValueDatatype="20" unbalanced="0"/>
    <cacheHierarchy uniqueName="[log].[Jitter (ms)]" caption="Jitter (ms)" attribute="1" defaultMemberUniqueName="[log].[Jitter (ms)].[All]" allUniqueName="[log].[Jitter (ms)].[All]" dimensionUniqueName="[log]" displayFolder="" count="0" memberValueDatatype="20" unbalanced="0"/>
    <cacheHierarchy uniqueName="[log].[Perda (%)]" caption="Perda (%)" attribute="1" defaultMemberUniqueName="[log].[Perda (%)].[All]" allUniqueName="[log].[Perda (%)].[All]" dimensionUniqueName="[log]" displayFolder="" count="0" memberValueDatatype="20" unbalanced="0"/>
    <cacheHierarchy uniqueName="[log].[IP]" caption="IP" attribute="1" defaultMemberUniqueName="[log].[IP].[All]" allUniqueName="[log].[IP].[All]" dimensionUniqueName="[log]" displayFolder="" count="0" memberValueDatatype="20" unbalanced="0"/>
    <cacheHierarchy uniqueName="[log].[Região Servidor]" caption="Região Servidor" attribute="1" defaultMemberUniqueName="[log].[Região Servidor].[All]" allUniqueName="[log].[Região Servidor].[All]" dimensionUniqueName="[log]" displayFolder="" count="0" memberValueDatatype="130" unbalanced="0"/>
    <cacheHierarchy uniqueName="[log].[Região Teste]" caption="Região Teste" attribute="1" defaultMemberUniqueName="[log].[Região Teste].[All]" allUniqueName="[log].[Região Teste].[All]" dimensionUniqueName="[log]" displayFolder="" count="0" memberValueDatatype="130" unbalanced="0"/>
    <cacheHierarchy uniqueName="[log].[Operador]" caption="Operador" attribute="1" defaultMemberUniqueName="[log].[Operador].[All]" allUniqueName="[log].[Operador].[All]" dimensionUniqueName="[log]" displayFolder="" count="0" memberValueDatatype="130" unbalanced="0"/>
    <cacheHierarchy uniqueName="[Measures].[__XL_Count log]" caption="__XL_Count log" measure="1" displayFolder="" measureGroup="log" count="0" hidden="1"/>
    <cacheHierarchy uniqueName="[Measures].[__No measures defined]" caption="__No measures defined" measure="1" displayFolder="" count="0" hidden="1"/>
    <cacheHierarchy uniqueName="[Measures].[Sum of Download]" caption="Sum of Download" measure="1" displayFolder="" measureGroup="log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Upload]" caption="Sum of Upload" measure="1" displayFolder="" measureGroup="lo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ownload]" caption="Average of Download" measure="1" displayFolder="" measureGroup="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Upload]" caption="Average of Upload" measure="1" displayFolder="" measureGroup="log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log" uniqueName="[log]" caption="log"/>
    <dimension measure="1" name="Measures" uniqueName="[Measures]" caption="Measures"/>
  </dimensions>
  <measureGroups count="1">
    <measureGroup name="log" caption="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Vinicius" refreshedDate="43992.948886111109" backgroundQuery="1" createdVersion="6" refreshedVersion="6" minRefreshableVersion="3" recordCount="0" supportSubquery="1" supportAdvancedDrill="1" xr:uid="{DDCCF12C-1D50-4ABD-B7B2-AAC372693247}">
  <cacheSource type="external" connectionId="2"/>
  <cacheFields count="3">
    <cacheField name="[log].[Date].[Date]" caption="Date" numFmtId="0" hierarchy="4" level="1">
      <sharedItems containsSemiMixedTypes="0" containsNonDate="0" containsDate="1" containsString="0" minDate="1899-12-30T00:00:00" maxDate="1899-12-31T00:00:00" count="1">
        <d v="1899-12-30T00:00:00"/>
      </sharedItems>
    </cacheField>
    <cacheField name="[Measures].[Average of Download]" caption="Average of Download" numFmtId="0" hierarchy="19" level="32767"/>
    <cacheField name="[Measures].[Average of Upload]" caption="Average of Upload" numFmtId="0" hierarchy="20" level="32767"/>
  </cacheFields>
  <cacheHierarchies count="21">
    <cacheHierarchy uniqueName="[log].[Hour]" caption="Hour" attribute="1" time="1" defaultMemberUniqueName="[log].[Hour].[All]" allUniqueName="[log].[Hour].[All]" dimensionUniqueName="[log]" displayFolder="" count="0" memberValueDatatype="7" unbalanced="0"/>
    <cacheHierarchy uniqueName="[log].[Month]" caption="Month" attribute="1" time="1" defaultMemberUniqueName="[log].[Month].[All]" allUniqueName="[log].[Month].[All]" dimensionUniqueName="[log]" displayFolder="" count="0" memberValueDatatype="7" unbalanced="0"/>
    <cacheHierarchy uniqueName="[log].[Weekday]" caption="Weekday" attribute="1" defaultMemberUniqueName="[log].[Weekday].[All]" allUniqueName="[log].[Weekday].[All]" dimensionUniqueName="[log]" displayFolder="" count="0" memberValueDatatype="130" unbalanced="0"/>
    <cacheHierarchy uniqueName="[log].[Timespan]" caption="Timespan" attribute="1" time="1" defaultMemberUniqueName="[log].[Timespan].[All]" allUniqueName="[log].[Timespan].[All]" dimensionUniqueName="[log]" displayFolder="" count="0" memberValueDatatype="7" unbalanced="0"/>
    <cacheHierarchy uniqueName="[log].[Date]" caption="Date" attribute="1" time="1" defaultMemberUniqueName="[log].[Date].[All]" allUniqueName="[log].[Date].[All]" dimensionUniqueName="[log]" displayFolder="" count="2" memberValueDatatype="7" unbalanced="0">
      <fieldsUsage count="2">
        <fieldUsage x="-1"/>
        <fieldUsage x="0"/>
      </fieldsUsage>
    </cacheHierarchy>
    <cacheHierarchy uniqueName="[log].[Time]" caption="Time" attribute="1" time="1" defaultMemberUniqueName="[log].[Time].[All]" allUniqueName="[log].[Time].[All]" dimensionUniqueName="[log]" displayFolder="" count="0" memberValueDatatype="7" unbalanced="0"/>
    <cacheHierarchy uniqueName="[log].[Download]" caption="Download" attribute="1" defaultMemberUniqueName="[log].[Download].[All]" allUniqueName="[log].[Download].[All]" dimensionUniqueName="[log]" displayFolder="" count="0" memberValueDatatype="20" unbalanced="0"/>
    <cacheHierarchy uniqueName="[log].[Upload]" caption="Upload" attribute="1" defaultMemberUniqueName="[log].[Upload].[All]" allUniqueName="[log].[Upload].[All]" dimensionUniqueName="[log]" displayFolder="" count="0" memberValueDatatype="20" unbalanced="0"/>
    <cacheHierarchy uniqueName="[log].[Latencia (ms)]" caption="Latencia (ms)" attribute="1" defaultMemberUniqueName="[log].[Latencia (ms)].[All]" allUniqueName="[log].[Latencia (ms)].[All]" dimensionUniqueName="[log]" displayFolder="" count="0" memberValueDatatype="20" unbalanced="0"/>
    <cacheHierarchy uniqueName="[log].[Jitter (ms)]" caption="Jitter (ms)" attribute="1" defaultMemberUniqueName="[log].[Jitter (ms)].[All]" allUniqueName="[log].[Jitter (ms)].[All]" dimensionUniqueName="[log]" displayFolder="" count="0" memberValueDatatype="20" unbalanced="0"/>
    <cacheHierarchy uniqueName="[log].[Perda (%)]" caption="Perda (%)" attribute="1" defaultMemberUniqueName="[log].[Perda (%)].[All]" allUniqueName="[log].[Perda (%)].[All]" dimensionUniqueName="[log]" displayFolder="" count="0" memberValueDatatype="20" unbalanced="0"/>
    <cacheHierarchy uniqueName="[log].[IP]" caption="IP" attribute="1" defaultMemberUniqueName="[log].[IP].[All]" allUniqueName="[log].[IP].[All]" dimensionUniqueName="[log]" displayFolder="" count="0" memberValueDatatype="20" unbalanced="0"/>
    <cacheHierarchy uniqueName="[log].[Região Servidor]" caption="Região Servidor" attribute="1" defaultMemberUniqueName="[log].[Região Servidor].[All]" allUniqueName="[log].[Região Servidor].[All]" dimensionUniqueName="[log]" displayFolder="" count="0" memberValueDatatype="130" unbalanced="0"/>
    <cacheHierarchy uniqueName="[log].[Região Teste]" caption="Região Teste" attribute="1" defaultMemberUniqueName="[log].[Região Teste].[All]" allUniqueName="[log].[Região Teste].[All]" dimensionUniqueName="[log]" displayFolder="" count="0" memberValueDatatype="130" unbalanced="0"/>
    <cacheHierarchy uniqueName="[log].[Operador]" caption="Operador" attribute="1" defaultMemberUniqueName="[log].[Operador].[All]" allUniqueName="[log].[Operador].[All]" dimensionUniqueName="[log]" displayFolder="" count="0" memberValueDatatype="130" unbalanced="0"/>
    <cacheHierarchy uniqueName="[Measures].[__XL_Count log]" caption="__XL_Count log" measure="1" displayFolder="" measureGroup="log" count="0" hidden="1"/>
    <cacheHierarchy uniqueName="[Measures].[__No measures defined]" caption="__No measures defined" measure="1" displayFolder="" count="0" hidden="1"/>
    <cacheHierarchy uniqueName="[Measures].[Sum of Download]" caption="Sum of Download" measure="1" displayFolder="" measureGroup="log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Upload]" caption="Sum of Upload" measure="1" displayFolder="" measureGroup="lo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ownload]" caption="Average of Download" measure="1" displayFolder="" measureGroup="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Upload]" caption="Average of Upload" measure="1" displayFolder="" measureGroup="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log" uniqueName="[log]" caption="log"/>
    <dimension measure="1" name="Measures" uniqueName="[Measures]" caption="Measures"/>
  </dimensions>
  <measureGroups count="1">
    <measureGroup name="log" caption="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Vinicius" refreshedDate="43992.94896076389" createdVersion="6" refreshedVersion="6" minRefreshableVersion="3" recordCount="1" xr:uid="{9C7BF4B9-CEBB-48F1-B25C-ABF53CC931BC}">
  <cacheSource type="worksheet">
    <worksheetSource name="log"/>
  </cacheSource>
  <cacheFields count="15">
    <cacheField name="Hour" numFmtId="20">
      <sharedItems containsSemiMixedTypes="0" containsNonDate="0" containsDate="1" containsString="0" minDate="1899-12-30T00:00:00" maxDate="1899-12-31T00:00:00"/>
    </cacheField>
    <cacheField name="Month" numFmtId="165">
      <sharedItems containsSemiMixedTypes="0" containsNonDate="0" containsDate="1" containsString="0" minDate="1899-12-31T00:00:00" maxDate="2020-06-02T00:00:00" count="3">
        <d v="1899-12-31T00:00:00"/>
        <d v="2020-06-01T00:00:00" u="1"/>
        <d v="1901-01-01T00:00:00" u="1"/>
      </sharedItems>
    </cacheField>
    <cacheField name="Weekday" numFmtId="0">
      <sharedItems/>
    </cacheField>
    <cacheField name="Timespan" numFmtId="22">
      <sharedItems containsSemiMixedTypes="0" containsNonDate="0" containsDate="1" containsString="0" minDate="1899-12-30T00:00:00" maxDate="1899-12-31T00:00:00"/>
    </cacheField>
    <cacheField name="Date" numFmtId="14">
      <sharedItems containsSemiMixedTypes="0" containsNonDate="0" containsDate="1" containsString="0" minDate="1899-12-30T00:00:00" maxDate="1899-12-31T00:00:00"/>
    </cacheField>
    <cacheField name="Time" numFmtId="164">
      <sharedItems containsSemiMixedTypes="0" containsNonDate="0" containsDate="1" containsString="0" minDate="1899-12-30T00:00:00" maxDate="1899-12-31T00:00:00"/>
    </cacheField>
    <cacheField name="Download" numFmtId="2">
      <sharedItems containsSemiMixedTypes="0" containsString="0" containsNumber="1" containsInteger="1" minValue="0" maxValue="0"/>
    </cacheField>
    <cacheField name="Upload" numFmtId="2">
      <sharedItems containsSemiMixedTypes="0" containsString="0" containsNumber="1" containsInteger="1" minValue="0" maxValue="0"/>
    </cacheField>
    <cacheField name="Latencia (ms)" numFmtId="0">
      <sharedItems containsSemiMixedTypes="0" containsString="0" containsNumber="1" containsInteger="1" minValue="0" maxValue="0"/>
    </cacheField>
    <cacheField name="Jitter (ms)" numFmtId="0">
      <sharedItems containsSemiMixedTypes="0" containsString="0" containsNumber="1" containsInteger="1" minValue="0" maxValue="0"/>
    </cacheField>
    <cacheField name="Perda (%)" numFmtId="9">
      <sharedItems containsSemiMixedTypes="0" containsString="0" containsNumber="1" containsInteger="1" minValue="0" maxValue="0"/>
    </cacheField>
    <cacheField name="IP" numFmtId="0">
      <sharedItems containsSemiMixedTypes="0" containsString="0" containsNumber="1" containsInteger="1" minValue="0" maxValue="0"/>
    </cacheField>
    <cacheField name="Região Servidor" numFmtId="0">
      <sharedItems/>
    </cacheField>
    <cacheField name="Região Teste" numFmtId="0">
      <sharedItems/>
    </cacheField>
    <cacheField name="Operad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Vinicius" refreshedDate="43992.949051041665" backgroundQuery="1" createdVersion="6" refreshedVersion="6" minRefreshableVersion="3" recordCount="0" supportSubquery="1" supportAdvancedDrill="1" xr:uid="{F9D8F624-8696-4D95-A24C-72FBAF427A2C}">
  <cacheSource type="external" connectionId="2"/>
  <cacheFields count="3">
    <cacheField name="[log].[Weekday].[Weekday]" caption="Weekday" numFmtId="0" hierarchy="2" level="1">
      <sharedItems count="1">
        <s v="7 - SAB"/>
      </sharedItems>
    </cacheField>
    <cacheField name="[Measures].[Average of Download]" caption="Average of Download" numFmtId="0" hierarchy="19" level="32767"/>
    <cacheField name="[Measures].[Average of Upload]" caption="Average of Upload" numFmtId="0" hierarchy="20" level="32767"/>
  </cacheFields>
  <cacheHierarchies count="21">
    <cacheHierarchy uniqueName="[log].[Hour]" caption="Hour" attribute="1" time="1" defaultMemberUniqueName="[log].[Hour].[All]" allUniqueName="[log].[Hour].[All]" dimensionUniqueName="[log]" displayFolder="" count="0" memberValueDatatype="7" unbalanced="0"/>
    <cacheHierarchy uniqueName="[log].[Month]" caption="Month" attribute="1" time="1" defaultMemberUniqueName="[log].[Month].[All]" allUniqueName="[log].[Month].[All]" dimensionUniqueName="[log]" displayFolder="" count="0" memberValueDatatype="7" unbalanced="0"/>
    <cacheHierarchy uniqueName="[log].[Weekday]" caption="Weekday" attribute="1" defaultMemberUniqueName="[log].[Weekday].[All]" allUniqueName="[log].[Weekday].[All]" dimensionUniqueName="[log]" displayFolder="" count="2" memberValueDatatype="130" unbalanced="0">
      <fieldsUsage count="2">
        <fieldUsage x="-1"/>
        <fieldUsage x="0"/>
      </fieldsUsage>
    </cacheHierarchy>
    <cacheHierarchy uniqueName="[log].[Timespan]" caption="Timespan" attribute="1" time="1" defaultMemberUniqueName="[log].[Timespan].[All]" allUniqueName="[log].[Timespan].[All]" dimensionUniqueName="[log]" displayFolder="" count="0" memberValueDatatype="7" unbalanced="0"/>
    <cacheHierarchy uniqueName="[log].[Date]" caption="Date" attribute="1" time="1" defaultMemberUniqueName="[log].[Date].[All]" allUniqueName="[log].[Date].[All]" dimensionUniqueName="[log]" displayFolder="" count="0" memberValueDatatype="7" unbalanced="0"/>
    <cacheHierarchy uniqueName="[log].[Time]" caption="Time" attribute="1" time="1" defaultMemberUniqueName="[log].[Time].[All]" allUniqueName="[log].[Time].[All]" dimensionUniqueName="[log]" displayFolder="" count="0" memberValueDatatype="7" unbalanced="0"/>
    <cacheHierarchy uniqueName="[log].[Download]" caption="Download" attribute="1" defaultMemberUniqueName="[log].[Download].[All]" allUniqueName="[log].[Download].[All]" dimensionUniqueName="[log]" displayFolder="" count="0" memberValueDatatype="20" unbalanced="0"/>
    <cacheHierarchy uniqueName="[log].[Upload]" caption="Upload" attribute="1" defaultMemberUniqueName="[log].[Upload].[All]" allUniqueName="[log].[Upload].[All]" dimensionUniqueName="[log]" displayFolder="" count="0" memberValueDatatype="20" unbalanced="0"/>
    <cacheHierarchy uniqueName="[log].[Latencia (ms)]" caption="Latencia (ms)" attribute="1" defaultMemberUniqueName="[log].[Latencia (ms)].[All]" allUniqueName="[log].[Latencia (ms)].[All]" dimensionUniqueName="[log]" displayFolder="" count="0" memberValueDatatype="20" unbalanced="0"/>
    <cacheHierarchy uniqueName="[log].[Jitter (ms)]" caption="Jitter (ms)" attribute="1" defaultMemberUniqueName="[log].[Jitter (ms)].[All]" allUniqueName="[log].[Jitter (ms)].[All]" dimensionUniqueName="[log]" displayFolder="" count="0" memberValueDatatype="20" unbalanced="0"/>
    <cacheHierarchy uniqueName="[log].[Perda (%)]" caption="Perda (%)" attribute="1" defaultMemberUniqueName="[log].[Perda (%)].[All]" allUniqueName="[log].[Perda (%)].[All]" dimensionUniqueName="[log]" displayFolder="" count="0" memberValueDatatype="20" unbalanced="0"/>
    <cacheHierarchy uniqueName="[log].[IP]" caption="IP" attribute="1" defaultMemberUniqueName="[log].[IP].[All]" allUniqueName="[log].[IP].[All]" dimensionUniqueName="[log]" displayFolder="" count="0" memberValueDatatype="20" unbalanced="0"/>
    <cacheHierarchy uniqueName="[log].[Região Servidor]" caption="Região Servidor" attribute="1" defaultMemberUniqueName="[log].[Região Servidor].[All]" allUniqueName="[log].[Região Servidor].[All]" dimensionUniqueName="[log]" displayFolder="" count="0" memberValueDatatype="130" unbalanced="0"/>
    <cacheHierarchy uniqueName="[log].[Região Teste]" caption="Região Teste" attribute="1" defaultMemberUniqueName="[log].[Região Teste].[All]" allUniqueName="[log].[Região Teste].[All]" dimensionUniqueName="[log]" displayFolder="" count="0" memberValueDatatype="130" unbalanced="0"/>
    <cacheHierarchy uniqueName="[log].[Operador]" caption="Operador" attribute="1" defaultMemberUniqueName="[log].[Operador].[All]" allUniqueName="[log].[Operador].[All]" dimensionUniqueName="[log]" displayFolder="" count="0" memberValueDatatype="130" unbalanced="0"/>
    <cacheHierarchy uniqueName="[Measures].[__XL_Count log]" caption="__XL_Count log" measure="1" displayFolder="" measureGroup="log" count="0" hidden="1"/>
    <cacheHierarchy uniqueName="[Measures].[__No measures defined]" caption="__No measures defined" measure="1" displayFolder="" count="0" hidden="1"/>
    <cacheHierarchy uniqueName="[Measures].[Sum of Download]" caption="Sum of Download" measure="1" displayFolder="" measureGroup="log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Upload]" caption="Sum of Upload" measure="1" displayFolder="" measureGroup="lo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ownload]" caption="Average of Download" measure="1" displayFolder="" measureGroup="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Upload]" caption="Average of Upload" measure="1" displayFolder="" measureGroup="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log" uniqueName="[log]" caption="log"/>
    <dimension measure="1" name="Measures" uniqueName="[Measures]" caption="Measures"/>
  </dimensions>
  <measureGroups count="1">
    <measureGroup name="log" caption="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d v="1899-12-30T00:00:00"/>
    <x v="0"/>
    <s v="7 - SAB"/>
    <d v="1899-12-30T00:00:00"/>
    <d v="1899-12-30T00:00:00"/>
    <d v="1899-12-30T00:00:00"/>
    <n v="0"/>
    <n v="0"/>
    <n v="0"/>
    <n v="0"/>
    <n v="0"/>
    <n v="0"/>
    <s v="-"/>
    <s v="-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9A3CFE-21D5-44DA-A311-42A523AD9884}" name="WeekDay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Q3:S5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Download" fld="1" subtotal="average" baseField="0" baseItem="0" numFmtId="2"/>
    <dataField name="Average of Upload" fld="2" subtotal="average" baseField="0" baseItem="0" numFmtId="2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Download"/>
    <pivotHierarchy dragToData="1" caption="Average of Upload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tus.xlsx!log">
        <x15:activeTabTopLevelEntity name="[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5A7A5-B442-426F-93E0-C14FF1DF239D}" name="HourAvg" cacheId="1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9">
  <location ref="M3:O4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dataFields count="2">
    <dataField name="Average of Download" fld="1" subtotal="average" baseField="0" baseItem="6" numFmtId="2"/>
    <dataField name="Average of Upload" fld="2" subtotal="average" baseField="0" baseItem="9" numFmtId="2"/>
  </dataFields>
  <chartFormats count="2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Download"/>
    <pivotHierarchy dragToData="1" caption="Average of Upload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tus.xlsx!log">
        <x15:activeTabTopLevelEntity name="[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4F795A-45AF-40DC-9F0A-4FDC7274F6A1}" name="Monthly" cacheId="1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3">
  <location ref="A3:C4" firstHeaderRow="0" firstDataRow="1" firstDataCol="1"/>
  <pivotFields count="15">
    <pivotField showAll="0"/>
    <pivotField axis="axisRow" numFmtId="165" showAll="0">
      <items count="4">
        <item m="1" x="1"/>
        <item m="1" x="2"/>
        <item x="0"/>
        <item t="default"/>
      </items>
    </pivotField>
    <pivotField showAll="0"/>
    <pivotField numFmtId="22" showAll="0"/>
    <pivotField numFmtId="14" showAll="0"/>
    <pivotField numFmtId="164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Fields count="1">
    <field x="-2"/>
  </colFields>
  <colItems count="2">
    <i>
      <x/>
    </i>
    <i i="1">
      <x v="1"/>
    </i>
  </colItems>
  <dataFields count="2">
    <dataField name="Avg Download" fld="6" subtotal="average" baseField="5" baseItem="0"/>
    <dataField name="Avg Upload" fld="7" subtotal="average" baseField="5" baseItem="0"/>
  </dataFields>
  <formats count="2">
    <format dxfId="19">
      <pivotArea outline="0" collapsedLevelsAreSubtotals="1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D4CFF-6E20-4EC7-99F9-94996A266D7F}" name="Hourly" cacheId="13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chartFormat="5">
  <location ref="I3:K5" firstHeaderRow="0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2">
    <field x="0"/>
    <field x="1"/>
  </rowFields>
  <rowItems count="2">
    <i>
      <x/>
    </i>
    <i r="1">
      <x/>
    </i>
  </rowItems>
  <colFields count="1">
    <field x="-2"/>
  </colFields>
  <colItems count="2">
    <i>
      <x/>
    </i>
    <i i="1">
      <x v="1"/>
    </i>
  </colItems>
  <dataFields count="2">
    <dataField name="Average of Download" fld="2" subtotal="average" baseField="1" baseItem="1"/>
    <dataField name="Average of Upload" fld="3" subtotal="average" baseField="1" baseItem="1"/>
  </dataFields>
  <formats count="1">
    <format dxfId="20">
      <pivotArea outline="0" collapsedLevelsAreSubtotals="1" fieldPosition="0"/>
    </format>
  </formats>
  <pivotHierarchies count="21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Download"/>
    <pivotHierarchy dragToData="1" caption="Average of Upload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tus.xlsx!log">
        <x15:activeTabTopLevelEntity name="[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CF078C-0434-4E2C-8A81-A27B4806D692}" name="Daily" cacheId="1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">
  <location ref="E3:G4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dataFields count="2">
    <dataField name="Average of Download" fld="1" subtotal="average" baseField="0" baseItem="0"/>
    <dataField name="Average of Upload" fld="2" subtotal="average" baseField="0" baseItem="0"/>
  </dataFields>
  <formats count="1">
    <format dxfId="21">
      <pivotArea outline="0" collapsedLevelsAreSubtotals="1" fieldPosition="0"/>
    </format>
  </formats>
  <chartFormats count="2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Download"/>
    <pivotHierarchy dragToData="1" caption="Average of Upload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tus.xlsx!log">
        <x15:activeTabTopLevelEntity name="[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DC30165E-9246-4C38-B610-5B3CFC9E2F34}" autoFormatId="16" applyNumberFormats="0" applyBorderFormats="0" applyFontFormats="0" applyPatternFormats="0" applyAlignmentFormats="0" applyWidthHeightFormats="0">
  <queryTableRefresh nextId="23" unboundColumnsLeft="3">
    <queryTableFields count="15">
      <queryTableField id="21" dataBound="0" tableColumnId="6"/>
      <queryTableField id="6" dataBound="0" tableColumnId="7"/>
      <queryTableField id="22" dataBound="0" tableColumnId="8"/>
      <queryTableField id="1" name="Timespan" tableColumnId="1"/>
      <queryTableField id="2" name="Date" tableColumnId="2"/>
      <queryTableField id="3" name="Time" tableColumnId="3"/>
      <queryTableField id="4" name="Download" tableColumnId="4"/>
      <queryTableField id="5" name="Upload" tableColumnId="5"/>
      <queryTableField id="15" name="Latencia (ms)" tableColumnId="14"/>
      <queryTableField id="16" name="Jitter (ms)" tableColumnId="15"/>
      <queryTableField id="17" name="Perda (%)" tableColumnId="16"/>
      <queryTableField id="11" name="IP" tableColumnId="10"/>
      <queryTableField id="12" name="Região Servidor" tableColumnId="11"/>
      <queryTableField id="13" name="Região Teste" tableColumnId="12"/>
      <queryTableField id="14" name="Operador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131334-ABF0-47BC-8588-71AB67E15657}" name="log" displayName="log" ref="A1:O2" tableType="queryTable" totalsRowShown="0">
  <autoFilter ref="A1:O2" xr:uid="{48A9F094-328E-4F2B-9AC0-7C1CDE88C84C}"/>
  <tableColumns count="15">
    <tableColumn id="6" xr3:uid="{A9698759-B4BF-4368-8EA9-A80F77FC11D8}" uniqueName="6" name="Hour" queryTableFieldId="21" dataDxfId="17">
      <calculatedColumnFormula>TIME(HOUR(log[[#This Row],[Time]]),0,0)</calculatedColumnFormula>
    </tableColumn>
    <tableColumn id="7" xr3:uid="{EDA0DC4B-EFA0-414E-9261-4F974DF2380C}" uniqueName="7" name="Month" queryTableFieldId="6" dataDxfId="16">
      <calculatedColumnFormula>DATE(YEAR(log[[#This Row],[Date]]),MONTH(log[[#This Row],[Date]]),1)</calculatedColumnFormula>
    </tableColumn>
    <tableColumn id="8" xr3:uid="{57031D98-1E9A-475D-BA46-655B60BCBB33}" uniqueName="8" name="Weekday" queryTableFieldId="22" dataDxfId="15">
      <calculatedColumnFormula>WEEKDAY(log[[#This Row],[Date]]) &amp; " - " &amp;_xlfn.SWITCH(WEEKDAY(log[[#This Row],[Date]]),1,"DOM",2,"SEG",3,"TER",4,"QUA",5,"QUI",6,"SEX",7,"SAB")</calculatedColumnFormula>
    </tableColumn>
    <tableColumn id="1" xr3:uid="{686068BB-789B-4B9B-9586-E030EFF2A2F8}" uniqueName="1" name="Timespan" queryTableFieldId="1" dataDxfId="14"/>
    <tableColumn id="2" xr3:uid="{8E90E6F7-E45A-4827-9412-A91488FC1F3D}" uniqueName="2" name="Date" queryTableFieldId="2" dataDxfId="13"/>
    <tableColumn id="3" xr3:uid="{15AD0D8A-D4B5-4170-9043-FD0D29C71186}" uniqueName="3" name="Time" queryTableFieldId="3" dataDxfId="12"/>
    <tableColumn id="4" xr3:uid="{B0E40487-A5C4-46F2-8317-7EE20665247B}" uniqueName="4" name="Download" queryTableFieldId="4" dataDxfId="11"/>
    <tableColumn id="5" xr3:uid="{B5B0B163-CC9A-48E5-8122-B8EC600BC3DF}" uniqueName="5" name="Upload" queryTableFieldId="5" dataDxfId="10"/>
    <tableColumn id="14" xr3:uid="{9A985BCD-D589-4B99-86FE-342977B274D4}" uniqueName="14" name="Latencia (ms)" queryTableFieldId="15" dataDxfId="9"/>
    <tableColumn id="15" xr3:uid="{A0AAC531-A0CF-4F38-B9CA-4DEE4C595B94}" uniqueName="15" name="Jitter (ms)" queryTableFieldId="16"/>
    <tableColumn id="16" xr3:uid="{EFA1DC5E-0751-406F-9131-552BDBC43911}" uniqueName="16" name="Perda (%)" queryTableFieldId="17" dataDxfId="8"/>
    <tableColumn id="10" xr3:uid="{5DDC33B3-FB54-419A-93C6-585FA38CBE83}" uniqueName="10" name="IP" queryTableFieldId="11" dataDxfId="7"/>
    <tableColumn id="11" xr3:uid="{A92927C3-CEC7-4545-878F-F7E96F727D12}" uniqueName="11" name="Região Servidor" queryTableFieldId="12" dataDxfId="6"/>
    <tableColumn id="12" xr3:uid="{7D6F5E4A-DF95-435C-9E20-F8A4F3E02919}" uniqueName="12" name="Região Teste" queryTableFieldId="13" dataDxfId="5"/>
    <tableColumn id="13" xr3:uid="{AD1CDA42-9FB8-4B91-8906-A5CC93B9F6B4}" uniqueName="13" name="Operador" queryTableFieldId="14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94D4-8D92-4A62-AA22-99BFCBC00D95}">
  <sheetPr codeName="Sheet1"/>
  <dimension ref="A1"/>
  <sheetViews>
    <sheetView showGridLines="0"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549EE-C96B-4AA4-839E-041C40524A7E}">
  <sheetPr codeName="Sheet2"/>
  <dimension ref="A1:S111"/>
  <sheetViews>
    <sheetView topLeftCell="L1" workbookViewId="0">
      <selection activeCell="R6" sqref="R6"/>
    </sheetView>
  </sheetViews>
  <sheetFormatPr defaultRowHeight="14.4" x14ac:dyDescent="0.3"/>
  <cols>
    <col min="1" max="1" width="12.5546875" bestFit="1" customWidth="1"/>
    <col min="2" max="2" width="13.33203125" bestFit="1" customWidth="1"/>
    <col min="3" max="3" width="10.77734375" bestFit="1" customWidth="1"/>
    <col min="5" max="5" width="12.5546875" bestFit="1" customWidth="1"/>
    <col min="6" max="6" width="19.33203125" style="5" bestFit="1" customWidth="1"/>
    <col min="7" max="7" width="16.77734375" style="5" bestFit="1" customWidth="1"/>
    <col min="8" max="8" width="7.21875" style="5" customWidth="1"/>
    <col min="9" max="9" width="12.5546875" bestFit="1" customWidth="1"/>
    <col min="10" max="10" width="19.33203125" style="5" bestFit="1" customWidth="1"/>
    <col min="11" max="11" width="16.77734375" style="5" bestFit="1" customWidth="1"/>
    <col min="12" max="12" width="8.109375" bestFit="1" customWidth="1"/>
    <col min="13" max="13" width="12.5546875" bestFit="1" customWidth="1"/>
    <col min="14" max="14" width="19.33203125" style="5" bestFit="1" customWidth="1"/>
    <col min="15" max="15" width="16.77734375" style="5" bestFit="1" customWidth="1"/>
    <col min="16" max="16" width="15.5546875" bestFit="1" customWidth="1"/>
    <col min="17" max="17" width="12.5546875" bestFit="1" customWidth="1"/>
    <col min="18" max="18" width="19.33203125" bestFit="1" customWidth="1"/>
    <col min="19" max="19" width="16.77734375" bestFit="1" customWidth="1"/>
    <col min="20" max="20" width="6" bestFit="1" customWidth="1"/>
    <col min="21" max="22" width="5" bestFit="1" customWidth="1"/>
    <col min="23" max="79" width="6" bestFit="1" customWidth="1"/>
    <col min="80" max="80" width="5" bestFit="1" customWidth="1"/>
    <col min="81" max="110" width="6" bestFit="1" customWidth="1"/>
    <col min="111" max="114" width="7" bestFit="1" customWidth="1"/>
    <col min="115" max="115" width="10.77734375" bestFit="1" customWidth="1"/>
  </cols>
  <sheetData>
    <row r="1" spans="1:19" x14ac:dyDescent="0.3">
      <c r="B1" s="10" t="str">
        <f ca="1">LEFT(CELL("filename",$A$1),FIND("[",CELL("filename",$A$1),1)-1)</f>
        <v>E:\Dropbox\SpeedtestCore\</v>
      </c>
    </row>
    <row r="3" spans="1:19" x14ac:dyDescent="0.3">
      <c r="A3" s="4" t="s">
        <v>5</v>
      </c>
      <c r="B3" s="5" t="s">
        <v>7</v>
      </c>
      <c r="C3" s="5" t="s">
        <v>8</v>
      </c>
      <c r="E3" s="4" t="s">
        <v>5</v>
      </c>
      <c r="F3" t="s">
        <v>16</v>
      </c>
      <c r="G3" t="s">
        <v>17</v>
      </c>
      <c r="I3" s="4" t="s">
        <v>5</v>
      </c>
      <c r="J3" t="s">
        <v>16</v>
      </c>
      <c r="K3" t="s">
        <v>17</v>
      </c>
      <c r="M3" s="4" t="s">
        <v>5</v>
      </c>
      <c r="N3" t="s">
        <v>16</v>
      </c>
      <c r="O3" t="s">
        <v>17</v>
      </c>
      <c r="Q3" s="4" t="s">
        <v>5</v>
      </c>
      <c r="R3" t="s">
        <v>16</v>
      </c>
      <c r="S3" t="s">
        <v>17</v>
      </c>
    </row>
    <row r="4" spans="1:19" x14ac:dyDescent="0.3">
      <c r="A4" s="7">
        <v>1</v>
      </c>
      <c r="B4" s="5">
        <v>0</v>
      </c>
      <c r="C4" s="5">
        <v>0</v>
      </c>
      <c r="E4" s="12">
        <v>0</v>
      </c>
      <c r="F4" s="5">
        <v>0</v>
      </c>
      <c r="G4" s="5">
        <v>0</v>
      </c>
      <c r="I4" s="12">
        <v>0</v>
      </c>
      <c r="M4" s="12">
        <v>0</v>
      </c>
      <c r="N4" s="5">
        <v>0</v>
      </c>
      <c r="O4" s="5">
        <v>0</v>
      </c>
      <c r="Q4" s="13" t="s">
        <v>21</v>
      </c>
      <c r="R4" s="5">
        <v>0</v>
      </c>
      <c r="S4" s="5">
        <v>0</v>
      </c>
    </row>
    <row r="5" spans="1:19" x14ac:dyDescent="0.3">
      <c r="F5"/>
      <c r="G5"/>
      <c r="I5" s="11">
        <v>0</v>
      </c>
      <c r="J5" s="5">
        <v>0</v>
      </c>
      <c r="K5" s="5">
        <v>0</v>
      </c>
      <c r="N5"/>
      <c r="O5"/>
      <c r="Q5" s="13" t="s">
        <v>18</v>
      </c>
      <c r="R5" s="5">
        <v>0</v>
      </c>
      <c r="S5" s="5">
        <v>0</v>
      </c>
    </row>
    <row r="6" spans="1:19" x14ac:dyDescent="0.3">
      <c r="F6"/>
      <c r="G6"/>
      <c r="J6"/>
      <c r="K6"/>
      <c r="N6"/>
      <c r="O6"/>
    </row>
    <row r="7" spans="1:19" x14ac:dyDescent="0.3">
      <c r="F7"/>
      <c r="G7"/>
      <c r="J7"/>
      <c r="K7"/>
      <c r="N7"/>
      <c r="O7"/>
    </row>
    <row r="8" spans="1:19" x14ac:dyDescent="0.3">
      <c r="F8"/>
      <c r="G8"/>
      <c r="J8"/>
      <c r="K8"/>
      <c r="N8"/>
      <c r="O8"/>
    </row>
    <row r="9" spans="1:19" x14ac:dyDescent="0.3">
      <c r="F9"/>
      <c r="G9"/>
      <c r="J9"/>
      <c r="K9"/>
      <c r="N9"/>
      <c r="O9"/>
    </row>
    <row r="10" spans="1:19" x14ac:dyDescent="0.3">
      <c r="F10"/>
      <c r="G10"/>
      <c r="J10"/>
      <c r="K10"/>
      <c r="N10"/>
      <c r="O10"/>
    </row>
    <row r="11" spans="1:19" x14ac:dyDescent="0.3">
      <c r="J11"/>
      <c r="K11"/>
      <c r="N11"/>
      <c r="O11"/>
    </row>
    <row r="12" spans="1:19" x14ac:dyDescent="0.3">
      <c r="J12"/>
      <c r="K12"/>
      <c r="N12"/>
      <c r="O12"/>
    </row>
    <row r="13" spans="1:19" x14ac:dyDescent="0.3">
      <c r="J13"/>
      <c r="K13"/>
      <c r="N13"/>
      <c r="O13"/>
    </row>
    <row r="14" spans="1:19" x14ac:dyDescent="0.3">
      <c r="J14"/>
      <c r="K14"/>
      <c r="N14"/>
      <c r="O14"/>
    </row>
    <row r="15" spans="1:19" x14ac:dyDescent="0.3">
      <c r="J15"/>
      <c r="K15"/>
      <c r="N15"/>
      <c r="O15"/>
    </row>
    <row r="16" spans="1:19" x14ac:dyDescent="0.3">
      <c r="J16"/>
      <c r="K16"/>
      <c r="N16"/>
      <c r="O16"/>
    </row>
    <row r="17" spans="10:15" x14ac:dyDescent="0.3">
      <c r="J17"/>
      <c r="K17"/>
      <c r="N17"/>
      <c r="O17"/>
    </row>
    <row r="18" spans="10:15" x14ac:dyDescent="0.3">
      <c r="J18"/>
      <c r="K18"/>
      <c r="N18"/>
      <c r="O18"/>
    </row>
    <row r="19" spans="10:15" x14ac:dyDescent="0.3">
      <c r="J19"/>
      <c r="K19"/>
      <c r="N19"/>
      <c r="O19"/>
    </row>
    <row r="20" spans="10:15" x14ac:dyDescent="0.3">
      <c r="J20"/>
      <c r="K20"/>
      <c r="N20"/>
      <c r="O20"/>
    </row>
    <row r="21" spans="10:15" x14ac:dyDescent="0.3">
      <c r="J21"/>
      <c r="K21"/>
      <c r="N21"/>
      <c r="O21"/>
    </row>
    <row r="22" spans="10:15" x14ac:dyDescent="0.3">
      <c r="J22"/>
      <c r="K22"/>
      <c r="N22"/>
      <c r="O22"/>
    </row>
    <row r="23" spans="10:15" x14ac:dyDescent="0.3">
      <c r="J23"/>
      <c r="K23"/>
      <c r="N23"/>
      <c r="O23"/>
    </row>
    <row r="24" spans="10:15" x14ac:dyDescent="0.3">
      <c r="J24"/>
      <c r="K24"/>
      <c r="N24"/>
      <c r="O24"/>
    </row>
    <row r="25" spans="10:15" x14ac:dyDescent="0.3">
      <c r="J25"/>
      <c r="K25"/>
    </row>
    <row r="26" spans="10:15" x14ac:dyDescent="0.3">
      <c r="J26"/>
      <c r="K26"/>
    </row>
    <row r="27" spans="10:15" x14ac:dyDescent="0.3">
      <c r="J27"/>
      <c r="K27"/>
    </row>
    <row r="28" spans="10:15" x14ac:dyDescent="0.3">
      <c r="J28"/>
      <c r="K28"/>
    </row>
    <row r="29" spans="10:15" x14ac:dyDescent="0.3">
      <c r="J29"/>
      <c r="K29"/>
    </row>
    <row r="30" spans="10:15" x14ac:dyDescent="0.3">
      <c r="J30"/>
      <c r="K30"/>
    </row>
    <row r="31" spans="10:15" x14ac:dyDescent="0.3">
      <c r="J31"/>
      <c r="K31"/>
    </row>
    <row r="32" spans="10:15" x14ac:dyDescent="0.3">
      <c r="J32"/>
      <c r="K32"/>
    </row>
    <row r="33" spans="10:11" x14ac:dyDescent="0.3">
      <c r="J33"/>
      <c r="K33"/>
    </row>
    <row r="34" spans="10:11" x14ac:dyDescent="0.3">
      <c r="J34"/>
      <c r="K34"/>
    </row>
    <row r="35" spans="10:11" x14ac:dyDescent="0.3">
      <c r="J35"/>
      <c r="K35"/>
    </row>
    <row r="36" spans="10:11" x14ac:dyDescent="0.3">
      <c r="J36"/>
      <c r="K36"/>
    </row>
    <row r="37" spans="10:11" x14ac:dyDescent="0.3">
      <c r="J37"/>
      <c r="K37"/>
    </row>
    <row r="38" spans="10:11" x14ac:dyDescent="0.3">
      <c r="J38"/>
      <c r="K38"/>
    </row>
    <row r="39" spans="10:11" x14ac:dyDescent="0.3">
      <c r="J39"/>
      <c r="K39"/>
    </row>
    <row r="40" spans="10:11" x14ac:dyDescent="0.3">
      <c r="J40"/>
      <c r="K40"/>
    </row>
    <row r="41" spans="10:11" x14ac:dyDescent="0.3">
      <c r="J41"/>
      <c r="K41"/>
    </row>
    <row r="42" spans="10:11" x14ac:dyDescent="0.3">
      <c r="J42"/>
      <c r="K42"/>
    </row>
    <row r="43" spans="10:11" x14ac:dyDescent="0.3">
      <c r="J43"/>
      <c r="K43"/>
    </row>
    <row r="44" spans="10:11" x14ac:dyDescent="0.3">
      <c r="J44"/>
      <c r="K44"/>
    </row>
    <row r="45" spans="10:11" x14ac:dyDescent="0.3">
      <c r="J45"/>
      <c r="K45"/>
    </row>
    <row r="46" spans="10:11" x14ac:dyDescent="0.3">
      <c r="J46"/>
      <c r="K46"/>
    </row>
    <row r="47" spans="10:11" x14ac:dyDescent="0.3">
      <c r="J47"/>
      <c r="K47"/>
    </row>
    <row r="48" spans="10:11" x14ac:dyDescent="0.3">
      <c r="J48"/>
      <c r="K48"/>
    </row>
    <row r="49" spans="10:11" x14ac:dyDescent="0.3">
      <c r="J49"/>
      <c r="K49"/>
    </row>
    <row r="50" spans="10:11" x14ac:dyDescent="0.3">
      <c r="J50"/>
      <c r="K50"/>
    </row>
    <row r="51" spans="10:11" x14ac:dyDescent="0.3">
      <c r="J51"/>
      <c r="K51"/>
    </row>
    <row r="52" spans="10:11" x14ac:dyDescent="0.3">
      <c r="J52"/>
      <c r="K52"/>
    </row>
    <row r="53" spans="10:11" x14ac:dyDescent="0.3">
      <c r="J53"/>
      <c r="K53"/>
    </row>
    <row r="54" spans="10:11" x14ac:dyDescent="0.3">
      <c r="J54"/>
      <c r="K54"/>
    </row>
    <row r="55" spans="10:11" x14ac:dyDescent="0.3">
      <c r="J55"/>
      <c r="K55"/>
    </row>
    <row r="56" spans="10:11" x14ac:dyDescent="0.3">
      <c r="J56"/>
      <c r="K56"/>
    </row>
    <row r="57" spans="10:11" x14ac:dyDescent="0.3">
      <c r="J57"/>
      <c r="K57"/>
    </row>
    <row r="58" spans="10:11" x14ac:dyDescent="0.3">
      <c r="J58"/>
      <c r="K58"/>
    </row>
    <row r="59" spans="10:11" x14ac:dyDescent="0.3">
      <c r="J59"/>
      <c r="K59"/>
    </row>
    <row r="60" spans="10:11" x14ac:dyDescent="0.3">
      <c r="J60"/>
      <c r="K60"/>
    </row>
    <row r="61" spans="10:11" x14ac:dyDescent="0.3">
      <c r="J61"/>
      <c r="K61"/>
    </row>
    <row r="62" spans="10:11" x14ac:dyDescent="0.3">
      <c r="J62"/>
      <c r="K62"/>
    </row>
    <row r="63" spans="10:11" x14ac:dyDescent="0.3">
      <c r="J63"/>
      <c r="K63"/>
    </row>
    <row r="64" spans="10:11" x14ac:dyDescent="0.3">
      <c r="J64"/>
      <c r="K64"/>
    </row>
    <row r="65" spans="10:11" x14ac:dyDescent="0.3">
      <c r="J65"/>
      <c r="K65"/>
    </row>
    <row r="66" spans="10:11" x14ac:dyDescent="0.3">
      <c r="J66"/>
      <c r="K66"/>
    </row>
    <row r="67" spans="10:11" x14ac:dyDescent="0.3">
      <c r="J67"/>
      <c r="K67"/>
    </row>
    <row r="68" spans="10:11" x14ac:dyDescent="0.3">
      <c r="J68"/>
      <c r="K68"/>
    </row>
    <row r="69" spans="10:11" x14ac:dyDescent="0.3">
      <c r="J69"/>
      <c r="K69"/>
    </row>
    <row r="70" spans="10:11" x14ac:dyDescent="0.3">
      <c r="J70"/>
      <c r="K70"/>
    </row>
    <row r="71" spans="10:11" x14ac:dyDescent="0.3">
      <c r="J71"/>
      <c r="K71"/>
    </row>
    <row r="72" spans="10:11" x14ac:dyDescent="0.3">
      <c r="J72"/>
      <c r="K72"/>
    </row>
    <row r="73" spans="10:11" x14ac:dyDescent="0.3">
      <c r="J73"/>
      <c r="K73"/>
    </row>
    <row r="74" spans="10:11" x14ac:dyDescent="0.3">
      <c r="J74"/>
      <c r="K74"/>
    </row>
    <row r="75" spans="10:11" x14ac:dyDescent="0.3">
      <c r="J75"/>
      <c r="K75"/>
    </row>
    <row r="76" spans="10:11" x14ac:dyDescent="0.3">
      <c r="J76"/>
      <c r="K76"/>
    </row>
    <row r="77" spans="10:11" x14ac:dyDescent="0.3">
      <c r="J77"/>
      <c r="K77"/>
    </row>
    <row r="78" spans="10:11" x14ac:dyDescent="0.3">
      <c r="J78"/>
      <c r="K78"/>
    </row>
    <row r="79" spans="10:11" x14ac:dyDescent="0.3">
      <c r="J79"/>
      <c r="K79"/>
    </row>
    <row r="80" spans="10:11" x14ac:dyDescent="0.3">
      <c r="J80"/>
      <c r="K80"/>
    </row>
    <row r="81" spans="10:11" x14ac:dyDescent="0.3">
      <c r="J81"/>
      <c r="K81"/>
    </row>
    <row r="82" spans="10:11" x14ac:dyDescent="0.3">
      <c r="J82"/>
      <c r="K82"/>
    </row>
    <row r="83" spans="10:11" x14ac:dyDescent="0.3">
      <c r="J83"/>
      <c r="K83"/>
    </row>
    <row r="84" spans="10:11" x14ac:dyDescent="0.3">
      <c r="J84"/>
      <c r="K84"/>
    </row>
    <row r="85" spans="10:11" x14ac:dyDescent="0.3">
      <c r="J85"/>
      <c r="K85"/>
    </row>
    <row r="86" spans="10:11" x14ac:dyDescent="0.3">
      <c r="J86"/>
      <c r="K86"/>
    </row>
    <row r="87" spans="10:11" x14ac:dyDescent="0.3">
      <c r="J87"/>
      <c r="K87"/>
    </row>
    <row r="88" spans="10:11" x14ac:dyDescent="0.3">
      <c r="J88"/>
      <c r="K88"/>
    </row>
    <row r="89" spans="10:11" x14ac:dyDescent="0.3">
      <c r="J89"/>
      <c r="K89"/>
    </row>
    <row r="90" spans="10:11" x14ac:dyDescent="0.3">
      <c r="J90"/>
      <c r="K90"/>
    </row>
    <row r="91" spans="10:11" x14ac:dyDescent="0.3">
      <c r="J91"/>
      <c r="K91"/>
    </row>
    <row r="92" spans="10:11" x14ac:dyDescent="0.3">
      <c r="J92"/>
      <c r="K92"/>
    </row>
    <row r="93" spans="10:11" x14ac:dyDescent="0.3">
      <c r="J93"/>
      <c r="K93"/>
    </row>
    <row r="94" spans="10:11" x14ac:dyDescent="0.3">
      <c r="J94"/>
      <c r="K94"/>
    </row>
    <row r="95" spans="10:11" x14ac:dyDescent="0.3">
      <c r="J95"/>
      <c r="K95"/>
    </row>
    <row r="96" spans="10:11" x14ac:dyDescent="0.3">
      <c r="J96"/>
      <c r="K96"/>
    </row>
    <row r="97" spans="10:11" x14ac:dyDescent="0.3">
      <c r="J97"/>
      <c r="K97"/>
    </row>
    <row r="98" spans="10:11" x14ac:dyDescent="0.3">
      <c r="J98"/>
      <c r="K98"/>
    </row>
    <row r="99" spans="10:11" x14ac:dyDescent="0.3">
      <c r="J99"/>
      <c r="K99"/>
    </row>
    <row r="100" spans="10:11" x14ac:dyDescent="0.3">
      <c r="J100"/>
      <c r="K100"/>
    </row>
    <row r="101" spans="10:11" x14ac:dyDescent="0.3">
      <c r="J101"/>
      <c r="K101"/>
    </row>
    <row r="102" spans="10:11" x14ac:dyDescent="0.3">
      <c r="J102"/>
      <c r="K102"/>
    </row>
    <row r="103" spans="10:11" x14ac:dyDescent="0.3">
      <c r="J103"/>
      <c r="K103"/>
    </row>
    <row r="104" spans="10:11" x14ac:dyDescent="0.3">
      <c r="J104"/>
      <c r="K104"/>
    </row>
    <row r="105" spans="10:11" x14ac:dyDescent="0.3">
      <c r="J105"/>
      <c r="K105"/>
    </row>
    <row r="106" spans="10:11" x14ac:dyDescent="0.3">
      <c r="J106"/>
      <c r="K106"/>
    </row>
    <row r="107" spans="10:11" x14ac:dyDescent="0.3">
      <c r="J107"/>
      <c r="K107"/>
    </row>
    <row r="108" spans="10:11" x14ac:dyDescent="0.3">
      <c r="J108"/>
      <c r="K108"/>
    </row>
    <row r="109" spans="10:11" x14ac:dyDescent="0.3">
      <c r="J109"/>
      <c r="K109"/>
    </row>
    <row r="110" spans="10:11" x14ac:dyDescent="0.3">
      <c r="J110"/>
      <c r="K110"/>
    </row>
    <row r="111" spans="10:11" x14ac:dyDescent="0.3">
      <c r="J111"/>
      <c r="K111"/>
    </row>
  </sheetData>
  <pageMargins left="0.7" right="0.7" top="0.75" bottom="0.75" header="0.3" footer="0.3"/>
  <pageSetup paperSize="9" orientation="portrait" horizontalDpi="0" verticalDpi="0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D6EC-3C38-45AB-86FA-97D08DF5C9BB}">
  <sheetPr codeName="Sheet3"/>
  <dimension ref="A1:O2"/>
  <sheetViews>
    <sheetView showGridLines="0" workbookViewId="0">
      <selection activeCell="A2" sqref="A2"/>
    </sheetView>
  </sheetViews>
  <sheetFormatPr defaultRowHeight="14.4" x14ac:dyDescent="0.3"/>
  <cols>
    <col min="1" max="1" width="7.33203125" style="14" bestFit="1" customWidth="1"/>
    <col min="2" max="2" width="11.5546875" bestFit="1" customWidth="1"/>
    <col min="3" max="3" width="11.109375" style="8" bestFit="1" customWidth="1"/>
    <col min="4" max="4" width="15.6640625" bestFit="1" customWidth="1"/>
    <col min="5" max="5" width="10.5546875" bestFit="1" customWidth="1"/>
    <col min="6" max="6" width="8.109375" bestFit="1" customWidth="1"/>
    <col min="7" max="7" width="11.77734375" style="5" bestFit="1" customWidth="1"/>
    <col min="8" max="8" width="9.33203125" style="5" bestFit="1" customWidth="1"/>
    <col min="9" max="9" width="14.44140625" bestFit="1" customWidth="1"/>
    <col min="10" max="10" width="11.5546875" bestFit="1" customWidth="1"/>
    <col min="11" max="11" width="11.33203125" style="9" bestFit="1" customWidth="1"/>
    <col min="12" max="12" width="12.6640625" bestFit="1" customWidth="1"/>
    <col min="13" max="13" width="27.21875" bestFit="1" customWidth="1"/>
    <col min="14" max="14" width="13.77734375" bestFit="1" customWidth="1"/>
    <col min="15" max="15" width="11.21875" bestFit="1" customWidth="1"/>
    <col min="16" max="16" width="28.21875" bestFit="1" customWidth="1"/>
    <col min="17" max="17" width="14.109375" bestFit="1" customWidth="1"/>
    <col min="18" max="18" width="11.33203125" bestFit="1" customWidth="1"/>
  </cols>
  <sheetData>
    <row r="1" spans="1:15" x14ac:dyDescent="0.3">
      <c r="A1" s="14" t="s">
        <v>19</v>
      </c>
      <c r="B1" s="6" t="s">
        <v>6</v>
      </c>
      <c r="C1" s="8" t="s">
        <v>20</v>
      </c>
      <c r="D1" t="s">
        <v>0</v>
      </c>
      <c r="E1" t="s">
        <v>1</v>
      </c>
      <c r="F1" t="s">
        <v>2</v>
      </c>
      <c r="G1" s="5" t="s">
        <v>3</v>
      </c>
      <c r="H1" s="5" t="s">
        <v>4</v>
      </c>
      <c r="I1" t="s">
        <v>13</v>
      </c>
      <c r="J1" t="s">
        <v>14</v>
      </c>
      <c r="K1" s="9" t="s">
        <v>15</v>
      </c>
      <c r="L1" t="s">
        <v>9</v>
      </c>
      <c r="M1" t="s">
        <v>10</v>
      </c>
      <c r="N1" t="s">
        <v>11</v>
      </c>
      <c r="O1" t="s">
        <v>12</v>
      </c>
    </row>
    <row r="2" spans="1:15" x14ac:dyDescent="0.3">
      <c r="A2" s="14">
        <f>TIME(HOUR(log[[#This Row],[Time]]),0,0)</f>
        <v>0</v>
      </c>
      <c r="B2" s="6">
        <f>DATE(YEAR(log[[#This Row],[Date]]),MONTH(log[[#This Row],[Date]]),1)</f>
        <v>1</v>
      </c>
      <c r="C2" s="8" t="str">
        <f>WEEKDAY(log[[#This Row],[Date]]) &amp; " - " &amp;_xlfn.SWITCH(WEEKDAY(log[[#This Row],[Date]]),1,"DOM",2,"SEG",3,"TER",4,"QUA",5,"QUI",6,"SEX",7,"SAB")</f>
        <v>7 - SAB</v>
      </c>
      <c r="D2" s="1">
        <v>0</v>
      </c>
      <c r="E2" s="2">
        <v>0</v>
      </c>
      <c r="F2" s="3">
        <v>0</v>
      </c>
      <c r="G2" s="5">
        <v>0</v>
      </c>
      <c r="H2" s="5">
        <v>0</v>
      </c>
      <c r="I2" s="8">
        <v>0</v>
      </c>
      <c r="J2">
        <v>0</v>
      </c>
      <c r="K2" s="9">
        <v>0</v>
      </c>
      <c r="L2" s="8">
        <v>0</v>
      </c>
      <c r="M2" s="8" t="s">
        <v>22</v>
      </c>
      <c r="N2" s="8" t="s">
        <v>22</v>
      </c>
      <c r="O2" s="8" t="s">
        <v>22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F6E5FE-922A-4F6C-B727-AA82071B9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Chart</vt:lpstr>
      <vt:lpstr>DailyAvg</vt:lpstr>
      <vt:lpstr>Data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dcterms:created xsi:type="dcterms:W3CDTF">2015-06-05T18:17:20Z</dcterms:created>
  <dcterms:modified xsi:type="dcterms:W3CDTF">2020-06-11T01:47:09Z</dcterms:modified>
</cp:coreProperties>
</file>