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Dropbox\Speedtest\"/>
    </mc:Choice>
  </mc:AlternateContent>
  <xr:revisionPtr revIDLastSave="0" documentId="13_ncr:1_{6B85EE03-F9C3-42B6-99B6-8AD013CD44CE}" xr6:coauthVersionLast="45" xr6:coauthVersionMax="45" xr10:uidLastSave="{00000000-0000-0000-0000-000000000000}"/>
  <bookViews>
    <workbookView xWindow="28680" yWindow="-120" windowWidth="29040" windowHeight="15990" xr2:uid="{00000000-000D-0000-FFFF-FFFF00000000}"/>
  </bookViews>
  <sheets>
    <sheet name="Chart" sheetId="5" r:id="rId1"/>
    <sheet name="DailyAvg" sheetId="3" state="hidden" r:id="rId2"/>
    <sheet name="Data" sheetId="2" r:id="rId3"/>
  </sheets>
  <definedNames>
    <definedName name="_xlcn.WorksheetConnection_Status.xlsxlog1" hidden="1">log[]</definedName>
    <definedName name="ExternalData_1" localSheetId="2" hidden="1">Data!$B$1:$M$2</definedName>
    <definedName name="FilePath">DailyAvg!$B$1</definedName>
  </definedNames>
  <calcPr calcId="191029"/>
  <pivotCaches>
    <pivotCache cacheId="455" r:id="rId4"/>
    <pivotCache cacheId="458" r:id="rId5"/>
    <pivotCache cacheId="461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og" name="log" connection="WorksheetConnection_Status.xlsx!log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2" l="1"/>
  <c r="B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E11E56-04EA-4F0B-9F6D-30A9BF86E055}" keepAlive="1" interval="60" name="Query - log" description="Connection to the 'log' query in the workbook." type="5" refreshedVersion="6" background="1" refreshOnLoad="1" saveData="1">
    <dbPr connection="Provider=Microsoft.Mashup.OleDb.1;Data Source=$Workbook$;Location=log;Extended Properties=&quot;&quot;" command="SELECT * FROM [log]"/>
  </connection>
  <connection id="2" xr16:uid="{632C3784-A760-450F-8C80-97A90E021CD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B6212E5D-EDC3-4FF9-940E-CCE105F867F5}" name="WorksheetConnection_Status.xlsx!log" type="102" refreshedVersion="6" minRefreshableVersion="5">
    <extLst>
      <ext xmlns:x15="http://schemas.microsoft.com/office/spreadsheetml/2010/11/main" uri="{DE250136-89BD-433C-8126-D09CA5730AF9}">
        <x15:connection id="log" autoDelete="1">
          <x15:rangePr sourceName="_xlcn.WorksheetConnection_Status.xlsxlog1"/>
        </x15:connection>
      </ext>
    </extLst>
  </connection>
</connections>
</file>

<file path=xl/sharedStrings.xml><?xml version="1.0" encoding="utf-8"?>
<sst xmlns="http://schemas.openxmlformats.org/spreadsheetml/2006/main" count="26" uniqueCount="19">
  <si>
    <t>Timespan</t>
  </si>
  <si>
    <t>Date</t>
  </si>
  <si>
    <t>Time</t>
  </si>
  <si>
    <t>Download</t>
  </si>
  <si>
    <t>Upload</t>
  </si>
  <si>
    <t>Row Labels</t>
  </si>
  <si>
    <t>Month</t>
  </si>
  <si>
    <t>Avg Download</t>
  </si>
  <si>
    <t>Avg Upload</t>
  </si>
  <si>
    <t>IP</t>
  </si>
  <si>
    <t>Região Servidor</t>
  </si>
  <si>
    <t>Região Teste</t>
  </si>
  <si>
    <t>Operador</t>
  </si>
  <si>
    <t>Latencia (ms)</t>
  </si>
  <si>
    <t>Jitter (ms)</t>
  </si>
  <si>
    <t>Perda (%)</t>
  </si>
  <si>
    <t>Average of Download</t>
  </si>
  <si>
    <t>Average of Upload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</si>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</sst>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mmmm\,\ yyyy;@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2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2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horizontal="left"/>
    </xf>
    <xf numFmtId="0" fontId="0" fillId="0" borderId="0" xfId="0" applyNumberFormat="1"/>
    <xf numFmtId="9" fontId="0" fillId="0" borderId="0" xfId="0" applyNumberFormat="1"/>
    <xf numFmtId="0" fontId="2" fillId="0" borderId="0" xfId="0" applyFont="1"/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 indent="1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2" formatCode="0.00"/>
    </dxf>
    <dxf>
      <numFmt numFmtId="2" formatCode="0.00"/>
    </dxf>
    <dxf>
      <numFmt numFmtId="164" formatCode="[$-F400]h:mm:ss\ AM/PM"/>
    </dxf>
    <dxf>
      <numFmt numFmtId="19" formatCode="dd/mm/yyyy"/>
    </dxf>
    <dxf>
      <numFmt numFmtId="27" formatCode="dd/mm/yyyy\ hh:mm"/>
    </dxf>
    <dxf>
      <numFmt numFmtId="165" formatCode="mmmm\,\ yyyy;@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2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[Status.xlsm]DailyAvg!Hourly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DailyAvg!$J$3</c:f>
              <c:strCache>
                <c:ptCount val="1"/>
                <c:pt idx="0">
                  <c:v>Average of Download</c:v>
                </c:pt>
              </c:strCache>
            </c:strRef>
          </c:tx>
          <c:cat>
            <c:multiLvlStrRef>
              <c:f>DailyAvg!$I$4:$I$5</c:f>
              <c:multiLvlStrCache>
                <c:ptCount val="1"/>
                <c:lvl>
                  <c:pt idx="0">
                    <c:v>00:00:00</c:v>
                  </c:pt>
                </c:lvl>
                <c:lvl>
                  <c:pt idx="0">
                    <c:v>01/01/1901</c:v>
                  </c:pt>
                </c:lvl>
              </c:multiLvlStrCache>
            </c:multiLvlStrRef>
          </c:cat>
          <c:val>
            <c:numRef>
              <c:f>DailyAvg!$J$4:$J$5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8C-484E-9E4A-86ED180797E7}"/>
            </c:ext>
          </c:extLst>
        </c:ser>
        <c:ser>
          <c:idx val="1"/>
          <c:order val="1"/>
          <c:tx>
            <c:strRef>
              <c:f>DailyAvg!$K$3</c:f>
              <c:strCache>
                <c:ptCount val="1"/>
                <c:pt idx="0">
                  <c:v>Average of Upload</c:v>
                </c:pt>
              </c:strCache>
            </c:strRef>
          </c:tx>
          <c:cat>
            <c:multiLvlStrRef>
              <c:f>DailyAvg!$I$4:$I$5</c:f>
              <c:multiLvlStrCache>
                <c:ptCount val="1"/>
                <c:lvl>
                  <c:pt idx="0">
                    <c:v>00:00:00</c:v>
                  </c:pt>
                </c:lvl>
                <c:lvl>
                  <c:pt idx="0">
                    <c:v>01/01/1901</c:v>
                  </c:pt>
                </c:lvl>
              </c:multiLvlStrCache>
            </c:multiLvlStrRef>
          </c:cat>
          <c:val>
            <c:numRef>
              <c:f>DailyAvg!$K$4:$K$5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8C-484E-9E4A-86ED18079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645200"/>
        <c:axId val="2125645856"/>
      </c:lineChart>
      <c:catAx>
        <c:axId val="212564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pt-BR"/>
          </a:p>
        </c:txPr>
        <c:crossAx val="2125645856"/>
        <c:crosses val="autoZero"/>
        <c:auto val="1"/>
        <c:lblAlgn val="ctr"/>
        <c:lblOffset val="100"/>
        <c:noMultiLvlLbl val="0"/>
      </c:catAx>
      <c:valAx>
        <c:axId val="21256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5645200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[Status.xlsm]DailyAvg!Daily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DailyAvg!$F$3</c:f>
              <c:strCache>
                <c:ptCount val="1"/>
                <c:pt idx="0">
                  <c:v>Average of Download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DailyAvg!$E$4</c:f>
              <c:strCache>
                <c:ptCount val="1"/>
                <c:pt idx="0">
                  <c:v>01/01/1901</c:v>
                </c:pt>
              </c:strCache>
            </c:strRef>
          </c:cat>
          <c:val>
            <c:numRef>
              <c:f>DailyAvg!$F$4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8-4810-AC41-D804975C7FF6}"/>
            </c:ext>
          </c:extLst>
        </c:ser>
        <c:ser>
          <c:idx val="1"/>
          <c:order val="1"/>
          <c:tx>
            <c:strRef>
              <c:f>DailyAvg!$G$3</c:f>
              <c:strCache>
                <c:ptCount val="1"/>
                <c:pt idx="0">
                  <c:v>Average of Upload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DailyAvg!$E$4</c:f>
              <c:strCache>
                <c:ptCount val="1"/>
                <c:pt idx="0">
                  <c:v>01/01/1901</c:v>
                </c:pt>
              </c:strCache>
            </c:strRef>
          </c:cat>
          <c:val>
            <c:numRef>
              <c:f>DailyAvg!$G$4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8-4810-AC41-D804975C7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645200"/>
        <c:axId val="2125645856"/>
      </c:lineChart>
      <c:catAx>
        <c:axId val="212564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5645856"/>
        <c:crosses val="autoZero"/>
        <c:auto val="1"/>
        <c:lblAlgn val="ctr"/>
        <c:lblOffset val="100"/>
        <c:noMultiLvlLbl val="0"/>
      </c:catAx>
      <c:valAx>
        <c:axId val="21256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564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[Status.xlsm]DailyAvg!Monthly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DailyAvg!$B$3</c:f>
              <c:strCache>
                <c:ptCount val="1"/>
                <c:pt idx="0">
                  <c:v>Avg Download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DailyAvg!$A$4</c:f>
              <c:strCache>
                <c:ptCount val="1"/>
                <c:pt idx="0">
                  <c:v>janeiro, 1901</c:v>
                </c:pt>
              </c:strCache>
            </c:strRef>
          </c:cat>
          <c:val>
            <c:numRef>
              <c:f>DailyAvg!$B$4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67-4397-BE91-53DCD747A911}"/>
            </c:ext>
          </c:extLst>
        </c:ser>
        <c:ser>
          <c:idx val="1"/>
          <c:order val="1"/>
          <c:tx>
            <c:strRef>
              <c:f>DailyAvg!$C$3</c:f>
              <c:strCache>
                <c:ptCount val="1"/>
                <c:pt idx="0">
                  <c:v>Avg Upload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DailyAvg!$A$4</c:f>
              <c:strCache>
                <c:ptCount val="1"/>
                <c:pt idx="0">
                  <c:v>janeiro, 1901</c:v>
                </c:pt>
              </c:strCache>
            </c:strRef>
          </c:cat>
          <c:val>
            <c:numRef>
              <c:f>DailyAvg!$C$4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67-4397-BE91-53DCD747A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7115120"/>
        <c:axId val="2137114464"/>
      </c:barChart>
      <c:catAx>
        <c:axId val="213711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7114464"/>
        <c:crosses val="autoZero"/>
        <c:auto val="1"/>
        <c:lblAlgn val="ctr"/>
        <c:lblOffset val="100"/>
        <c:noMultiLvlLbl val="0"/>
      </c:catAx>
      <c:valAx>
        <c:axId val="213711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711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9</xdr:col>
      <xdr:colOff>53341</xdr:colOff>
      <xdr:row>15</xdr:row>
      <xdr:rowOff>38101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353B27-E8C8-4A16-BB33-21DBED497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55245</xdr:colOff>
      <xdr:row>0</xdr:row>
      <xdr:rowOff>1</xdr:rowOff>
    </xdr:from>
    <xdr:to>
      <xdr:col>17</xdr:col>
      <xdr:colOff>327660</xdr:colOff>
      <xdr:row>15</xdr:row>
      <xdr:rowOff>45721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FD5B4DA-8A97-4470-AA91-C14EF593C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34290</xdr:rowOff>
    </xdr:from>
    <xdr:to>
      <xdr:col>17</xdr:col>
      <xdr:colOff>327660</xdr:colOff>
      <xdr:row>27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8951E0B-ECF5-4C22-9DBB-B5FB8E602F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Vinicius" refreshedDate="43987.064334374998" backgroundQuery="1" createdVersion="6" refreshedVersion="6" minRefreshableVersion="3" recordCount="0" supportSubquery="1" supportAdvancedDrill="1" xr:uid="{05ED8143-9050-4BDE-B08E-A32A2C2771FF}">
  <cacheSource type="external" connectionId="2"/>
  <cacheFields count="4">
    <cacheField name="[log].[Date].[Date]" caption="Date" numFmtId="0" hierarchy="2" level="1">
      <sharedItems containsSemiMixedTypes="0" containsNonDate="0" containsDate="1" containsString="0" minDate="1901-01-01T00:00:00" maxDate="1901-01-02T00:00:00" count="1">
        <d v="1901-01-01T00:00:00"/>
      </sharedItems>
    </cacheField>
    <cacheField name="[log].[Time].[Time]" caption="Time" numFmtId="0" hierarchy="3" level="1">
      <sharedItems containsSemiMixedTypes="0" containsNonDate="0" containsDate="1" containsString="0" minDate="1899-12-30T00:00:00" maxDate="1899-12-31T00:00:00" count="1">
        <d v="1899-12-30T00:00:00"/>
      </sharedItems>
    </cacheField>
    <cacheField name="[Measures].[Average of Download]" caption="Average of Download" numFmtId="0" hierarchy="17" level="32767"/>
    <cacheField name="[Measures].[Average of Upload]" caption="Average of Upload" numFmtId="0" hierarchy="18" level="32767"/>
  </cacheFields>
  <cacheHierarchies count="19">
    <cacheHierarchy uniqueName="[log].[Month]" caption="Month" attribute="1" time="1" defaultMemberUniqueName="[log].[Month].[All]" allUniqueName="[log].[Month].[All]" dimensionUniqueName="[log]" displayFolder="" count="0" memberValueDatatype="7" unbalanced="0"/>
    <cacheHierarchy uniqueName="[log].[Timespan]" caption="Timespan" attribute="1" time="1" defaultMemberUniqueName="[log].[Timespan].[All]" allUniqueName="[log].[Timespan].[All]" dimensionUniqueName="[log]" displayFolder="" count="0" memberValueDatatype="7" unbalanced="0"/>
    <cacheHierarchy uniqueName="[log].[Date]" caption="Date" attribute="1" time="1" defaultMemberUniqueName="[log].[Date].[All]" allUniqueName="[log].[Date].[All]" dimensionUniqueName="[log]" displayFolder="" count="2" memberValueDatatype="7" unbalanced="0">
      <fieldsUsage count="2">
        <fieldUsage x="-1"/>
        <fieldUsage x="0"/>
      </fieldsUsage>
    </cacheHierarchy>
    <cacheHierarchy uniqueName="[log].[Time]" caption="Time" attribute="1" time="1" defaultMemberUniqueName="[log].[Time].[All]" allUniqueName="[log].[Time].[All]" dimensionUniqueName="[log]" displayFolder="" count="2" memberValueDatatype="7" unbalanced="0">
      <fieldsUsage count="2">
        <fieldUsage x="-1"/>
        <fieldUsage x="1"/>
      </fieldsUsage>
    </cacheHierarchy>
    <cacheHierarchy uniqueName="[log].[Download]" caption="Download" attribute="1" defaultMemberUniqueName="[log].[Download].[All]" allUniqueName="[log].[Download].[All]" dimensionUniqueName="[log]" displayFolder="" count="0" memberValueDatatype="20" unbalanced="0"/>
    <cacheHierarchy uniqueName="[log].[Upload]" caption="Upload" attribute="1" defaultMemberUniqueName="[log].[Upload].[All]" allUniqueName="[log].[Upload].[All]" dimensionUniqueName="[log]" displayFolder="" count="0" memberValueDatatype="20" unbalanced="0"/>
    <cacheHierarchy uniqueName="[log].[Latencia (ms)]" caption="Latencia (ms)" attribute="1" defaultMemberUniqueName="[log].[Latencia (ms)].[All]" allUniqueName="[log].[Latencia (ms)].[All]" dimensionUniqueName="[log]" displayFolder="" count="0" memberValueDatatype="20" unbalanced="0"/>
    <cacheHierarchy uniqueName="[log].[Jitter (ms)]" caption="Jitter (ms)" attribute="1" defaultMemberUniqueName="[log].[Jitter (ms)].[All]" allUniqueName="[log].[Jitter (ms)].[All]" dimensionUniqueName="[log]" displayFolder="" count="0" memberValueDatatype="20" unbalanced="0"/>
    <cacheHierarchy uniqueName="[log].[Perda (%)]" caption="Perda (%)" attribute="1" defaultMemberUniqueName="[log].[Perda (%)].[All]" allUniqueName="[log].[Perda (%)].[All]" dimensionUniqueName="[log]" displayFolder="" count="0" memberValueDatatype="20" unbalanced="0"/>
    <cacheHierarchy uniqueName="[log].[IP]" caption="IP" attribute="1" defaultMemberUniqueName="[log].[IP].[All]" allUniqueName="[log].[IP].[All]" dimensionUniqueName="[log]" displayFolder="" count="0" memberValueDatatype="130" unbalanced="0"/>
    <cacheHierarchy uniqueName="[log].[Região Servidor]" caption="Região Servidor" attribute="1" defaultMemberUniqueName="[log].[Região Servidor].[All]" allUniqueName="[log].[Região Servidor].[All]" dimensionUniqueName="[log]" displayFolder="" count="0" memberValueDatatype="130" unbalanced="0"/>
    <cacheHierarchy uniqueName="[log].[Região Teste]" caption="Região Teste" attribute="1" defaultMemberUniqueName="[log].[Região Teste].[All]" allUniqueName="[log].[Região Teste].[All]" dimensionUniqueName="[log]" displayFolder="" count="0" memberValueDatatype="130" unbalanced="0"/>
    <cacheHierarchy uniqueName="[log].[Operador]" caption="Operador" attribute="1" defaultMemberUniqueName="[log].[Operador].[All]" allUniqueName="[log].[Operador].[All]" dimensionUniqueName="[log]" displayFolder="" count="0" memberValueDatatype="130" unbalanced="0"/>
    <cacheHierarchy uniqueName="[Measures].[__XL_Count log]" caption="__XL_Count log" measure="1" displayFolder="" measureGroup="log" count="0" hidden="1"/>
    <cacheHierarchy uniqueName="[Measures].[__No measures defined]" caption="__No measures defined" measure="1" displayFolder="" count="0" hidden="1"/>
    <cacheHierarchy uniqueName="[Measures].[Sum of Download]" caption="Sum of Download" measure="1" displayFolder="" measureGroup="log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Upload]" caption="Sum of Upload" measure="1" displayFolder="" measureGroup="log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Download]" caption="Average of Download" measure="1" displayFolder="" measureGroup="log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Upload]" caption="Average of Upload" measure="1" displayFolder="" measureGroup="log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name="log" uniqueName="[log]" caption="log"/>
    <dimension measure="1" name="Measures" uniqueName="[Measures]" caption="Measures"/>
  </dimensions>
  <measureGroups count="1">
    <measureGroup name="log" caption="log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Vinicius" refreshedDate="43987.064335185183" backgroundQuery="1" createdVersion="6" refreshedVersion="6" minRefreshableVersion="3" recordCount="0" supportSubquery="1" supportAdvancedDrill="1" xr:uid="{DDCCF12C-1D50-4ABD-B7B2-AAC372693247}">
  <cacheSource type="external" connectionId="2"/>
  <cacheFields count="3">
    <cacheField name="[log].[Date].[Date]" caption="Date" numFmtId="0" hierarchy="2" level="1">
      <sharedItems containsSemiMixedTypes="0" containsNonDate="0" containsDate="1" containsString="0" minDate="1901-01-01T00:00:00" maxDate="1901-01-02T00:00:00" count="1">
        <d v="1901-01-01T00:00:00"/>
      </sharedItems>
    </cacheField>
    <cacheField name="[Measures].[Average of Download]" caption="Average of Download" numFmtId="0" hierarchy="17" level="32767"/>
    <cacheField name="[Measures].[Average of Upload]" caption="Average of Upload" numFmtId="0" hierarchy="18" level="32767"/>
  </cacheFields>
  <cacheHierarchies count="19">
    <cacheHierarchy uniqueName="[log].[Month]" caption="Month" attribute="1" time="1" defaultMemberUniqueName="[log].[Month].[All]" allUniqueName="[log].[Month].[All]" dimensionUniqueName="[log]" displayFolder="" count="0" memberValueDatatype="7" unbalanced="0"/>
    <cacheHierarchy uniqueName="[log].[Timespan]" caption="Timespan" attribute="1" time="1" defaultMemberUniqueName="[log].[Timespan].[All]" allUniqueName="[log].[Timespan].[All]" dimensionUniqueName="[log]" displayFolder="" count="0" memberValueDatatype="7" unbalanced="0"/>
    <cacheHierarchy uniqueName="[log].[Date]" caption="Date" attribute="1" time="1" defaultMemberUniqueName="[log].[Date].[All]" allUniqueName="[log].[Date].[All]" dimensionUniqueName="[log]" displayFolder="" count="2" memberValueDatatype="7" unbalanced="0">
      <fieldsUsage count="2">
        <fieldUsage x="-1"/>
        <fieldUsage x="0"/>
      </fieldsUsage>
    </cacheHierarchy>
    <cacheHierarchy uniqueName="[log].[Time]" caption="Time" attribute="1" time="1" defaultMemberUniqueName="[log].[Time].[All]" allUniqueName="[log].[Time].[All]" dimensionUniqueName="[log]" displayFolder="" count="0" memberValueDatatype="7" unbalanced="0"/>
    <cacheHierarchy uniqueName="[log].[Download]" caption="Download" attribute="1" defaultMemberUniqueName="[log].[Download].[All]" allUniqueName="[log].[Download].[All]" dimensionUniqueName="[log]" displayFolder="" count="0" memberValueDatatype="20" unbalanced="0"/>
    <cacheHierarchy uniqueName="[log].[Upload]" caption="Upload" attribute="1" defaultMemberUniqueName="[log].[Upload].[All]" allUniqueName="[log].[Upload].[All]" dimensionUniqueName="[log]" displayFolder="" count="0" memberValueDatatype="20" unbalanced="0"/>
    <cacheHierarchy uniqueName="[log].[Latencia (ms)]" caption="Latencia (ms)" attribute="1" defaultMemberUniqueName="[log].[Latencia (ms)].[All]" allUniqueName="[log].[Latencia (ms)].[All]" dimensionUniqueName="[log]" displayFolder="" count="0" memberValueDatatype="20" unbalanced="0"/>
    <cacheHierarchy uniqueName="[log].[Jitter (ms)]" caption="Jitter (ms)" attribute="1" defaultMemberUniqueName="[log].[Jitter (ms)].[All]" allUniqueName="[log].[Jitter (ms)].[All]" dimensionUniqueName="[log]" displayFolder="" count="0" memberValueDatatype="20" unbalanced="0"/>
    <cacheHierarchy uniqueName="[log].[Perda (%)]" caption="Perda (%)" attribute="1" defaultMemberUniqueName="[log].[Perda (%)].[All]" allUniqueName="[log].[Perda (%)].[All]" dimensionUniqueName="[log]" displayFolder="" count="0" memberValueDatatype="20" unbalanced="0"/>
    <cacheHierarchy uniqueName="[log].[IP]" caption="IP" attribute="1" defaultMemberUniqueName="[log].[IP].[All]" allUniqueName="[log].[IP].[All]" dimensionUniqueName="[log]" displayFolder="" count="0" memberValueDatatype="130" unbalanced="0"/>
    <cacheHierarchy uniqueName="[log].[Região Servidor]" caption="Região Servidor" attribute="1" defaultMemberUniqueName="[log].[Região Servidor].[All]" allUniqueName="[log].[Região Servidor].[All]" dimensionUniqueName="[log]" displayFolder="" count="0" memberValueDatatype="130" unbalanced="0"/>
    <cacheHierarchy uniqueName="[log].[Região Teste]" caption="Região Teste" attribute="1" defaultMemberUniqueName="[log].[Região Teste].[All]" allUniqueName="[log].[Região Teste].[All]" dimensionUniqueName="[log]" displayFolder="" count="0" memberValueDatatype="130" unbalanced="0"/>
    <cacheHierarchy uniqueName="[log].[Operador]" caption="Operador" attribute="1" defaultMemberUniqueName="[log].[Operador].[All]" allUniqueName="[log].[Operador].[All]" dimensionUniqueName="[log]" displayFolder="" count="0" memberValueDatatype="130" unbalanced="0"/>
    <cacheHierarchy uniqueName="[Measures].[__XL_Count log]" caption="__XL_Count log" measure="1" displayFolder="" measureGroup="log" count="0" hidden="1"/>
    <cacheHierarchy uniqueName="[Measures].[__No measures defined]" caption="__No measures defined" measure="1" displayFolder="" count="0" hidden="1"/>
    <cacheHierarchy uniqueName="[Measures].[Sum of Download]" caption="Sum of Download" measure="1" displayFolder="" measureGroup="log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Upload]" caption="Sum of Upload" measure="1" displayFolder="" measureGroup="log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Download]" caption="Average of Download" measure="1" displayFolder="" measureGroup="log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Upload]" caption="Average of Upload" measure="1" displayFolder="" measureGroup="log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name="log" uniqueName="[log]" caption="log"/>
    <dimension measure="1" name="Measures" uniqueName="[Measures]" caption="Measures"/>
  </dimensions>
  <measureGroups count="1">
    <measureGroup name="log" caption="log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Vinicius" refreshedDate="43987.064335185183" createdVersion="6" refreshedVersion="6" minRefreshableVersion="3" recordCount="1" xr:uid="{9C7BF4B9-CEBB-48F1-B25C-ABF53CC931BC}">
  <cacheSource type="worksheet">
    <worksheetSource name="log"/>
  </cacheSource>
  <cacheFields count="13">
    <cacheField name="Month" numFmtId="165">
      <sharedItems containsSemiMixedTypes="0" containsNonDate="0" containsDate="1" containsString="0" minDate="1901-01-01T00:00:00" maxDate="2020-06-02T00:00:00" count="2">
        <d v="1901-01-01T00:00:00"/>
        <d v="2020-06-01T00:00:00" u="1"/>
      </sharedItems>
    </cacheField>
    <cacheField name="Timespan" numFmtId="22">
      <sharedItems containsSemiMixedTypes="0" containsNonDate="0" containsDate="1" containsString="0" minDate="1901-01-01T00:00:00" maxDate="1901-01-02T00:00:00"/>
    </cacheField>
    <cacheField name="Date" numFmtId="14">
      <sharedItems containsSemiMixedTypes="0" containsNonDate="0" containsDate="1" containsString="0" minDate="1901-01-01T00:00:00" maxDate="1901-01-02T00:00:00"/>
    </cacheField>
    <cacheField name="Time" numFmtId="164">
      <sharedItems containsSemiMixedTypes="0" containsNonDate="0" containsDate="1" containsString="0" minDate="1899-12-30T00:00:00" maxDate="1899-12-31T00:00:00"/>
    </cacheField>
    <cacheField name="Download" numFmtId="2">
      <sharedItems containsSemiMixedTypes="0" containsString="0" containsNumber="1" containsInteger="1" minValue="0" maxValue="0"/>
    </cacheField>
    <cacheField name="Upload" numFmtId="2">
      <sharedItems containsSemiMixedTypes="0" containsString="0" containsNumber="1" containsInteger="1" minValue="0" maxValue="0"/>
    </cacheField>
    <cacheField name="Latencia (ms)" numFmtId="0">
      <sharedItems containsSemiMixedTypes="0" containsString="0" containsNumber="1" containsInteger="1" minValue="0" maxValue="0"/>
    </cacheField>
    <cacheField name="Jitter (ms)" numFmtId="0">
      <sharedItems containsSemiMixedTypes="0" containsString="0" containsNumber="1" containsInteger="1" minValue="0" maxValue="0"/>
    </cacheField>
    <cacheField name="Perda (%)" numFmtId="9">
      <sharedItems containsSemiMixedTypes="0" containsString="0" containsNumber="1" containsInteger="1" minValue="0" maxValue="0"/>
    </cacheField>
    <cacheField name="IP" numFmtId="0">
      <sharedItems/>
    </cacheField>
    <cacheField name="Região Servidor" numFmtId="0">
      <sharedItems/>
    </cacheField>
    <cacheField name="Região Teste" numFmtId="0">
      <sharedItems/>
    </cacheField>
    <cacheField name="Operad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d v="1901-01-01T00:00:00"/>
    <d v="1901-01-01T00:00:00"/>
    <d v="1899-12-30T00:00:00"/>
    <n v="0"/>
    <n v="0"/>
    <n v="0"/>
    <n v="0"/>
    <n v="0"/>
    <s v="-"/>
    <s v="-"/>
    <s v="-"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8D4CFF-6E20-4EC7-99F9-94996A266D7F}" name="Hourly" cacheId="455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outline="1" outlineData="1" multipleFieldFilters="0" chartFormat="5">
  <location ref="I3:K5" firstHeaderRow="0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</pivotFields>
  <rowFields count="2">
    <field x="0"/>
    <field x="1"/>
  </rowFields>
  <rowItems count="2">
    <i>
      <x/>
    </i>
    <i r="1">
      <x/>
    </i>
  </rowItems>
  <colFields count="1">
    <field x="-2"/>
  </colFields>
  <colItems count="2">
    <i>
      <x/>
    </i>
    <i i="1">
      <x v="1"/>
    </i>
  </colItems>
  <dataFields count="2">
    <dataField name="Average of Download" fld="2" subtotal="average" baseField="1" baseItem="1"/>
    <dataField name="Average of Upload" fld="3" subtotal="average" baseField="1" baseItem="1"/>
  </dataFields>
  <formats count="1">
    <format dxfId="12">
      <pivotArea outline="0" collapsedLevelsAreSubtotals="1" fieldPosition="0"/>
    </format>
  </formats>
  <chartFormats count="2"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1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verage of Download"/>
    <pivotHierarchy dragToData="1" caption="Average of Upload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tus.xlsx!log">
        <x15:activeTabTopLevelEntity name="[lo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CF078C-0434-4E2C-8A81-A27B4806D692}" name="Daily" cacheId="45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4">
  <location ref="E3:G4" firstHeaderRow="0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">
    <i>
      <x/>
    </i>
  </rowItems>
  <colFields count="1">
    <field x="-2"/>
  </colFields>
  <colItems count="2">
    <i>
      <x/>
    </i>
    <i i="1">
      <x v="1"/>
    </i>
  </colItems>
  <dataFields count="2">
    <dataField name="Average of Download" fld="1" subtotal="average" baseField="0" baseItem="0"/>
    <dataField name="Average of Upload" fld="2" subtotal="average" baseField="0" baseItem="0"/>
  </dataFields>
  <formats count="1">
    <format dxfId="13">
      <pivotArea outline="0" collapsedLevelsAreSubtotals="1" fieldPosition="0"/>
    </format>
  </formats>
  <chartFormats count="2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verage of Download"/>
    <pivotHierarchy dragToData="1" caption="Average of Upload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tus.xlsx!log">
        <x15:activeTabTopLevelEntity name="[lo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4F795A-45AF-40DC-9F0A-4FDC7274F6A1}" name="Monthly" cacheId="46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3">
  <location ref="A3:C4" firstHeaderRow="0" firstDataRow="1" firstDataCol="1"/>
  <pivotFields count="13">
    <pivotField axis="axisRow" numFmtId="165" showAll="0">
      <items count="3">
        <item m="1" x="1"/>
        <item x="0"/>
        <item t="default"/>
      </items>
    </pivotField>
    <pivotField numFmtId="22" showAll="0"/>
    <pivotField numFmtId="14" showAll="0"/>
    <pivotField numFmtId="164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>
      <x v="1"/>
    </i>
  </rowItems>
  <colFields count="1">
    <field x="-2"/>
  </colFields>
  <colItems count="2">
    <i>
      <x/>
    </i>
    <i i="1">
      <x v="1"/>
    </i>
  </colItems>
  <dataFields count="2">
    <dataField name="Avg Download" fld="4" subtotal="average" baseField="5" baseItem="0"/>
    <dataField name="Avg Upload" fld="5" subtotal="average" baseField="5" baseItem="0"/>
  </dataFields>
  <formats count="2">
    <format dxfId="15">
      <pivotArea outline="0" collapsedLevelsAreSubtotals="1" fieldPosition="0"/>
    </format>
    <format dxfId="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DC30165E-9246-4C38-B610-5B3CFC9E2F34}" autoFormatId="16" applyNumberFormats="0" applyBorderFormats="0" applyFontFormats="0" applyPatternFormats="0" applyAlignmentFormats="0" applyWidthHeightFormats="0">
  <queryTableRefresh nextId="21" unboundColumnsLeft="1">
    <queryTableFields count="13">
      <queryTableField id="6" dataBound="0" tableColumnId="7"/>
      <queryTableField id="1" name="Timespan" tableColumnId="1"/>
      <queryTableField id="2" name="Date" tableColumnId="2"/>
      <queryTableField id="3" name="Time" tableColumnId="3"/>
      <queryTableField id="4" name="Download" tableColumnId="4"/>
      <queryTableField id="5" name="Upload" tableColumnId="5"/>
      <queryTableField id="15" name="Latencia (ms)" tableColumnId="14"/>
      <queryTableField id="16" name="Jitter (ms)" tableColumnId="15"/>
      <queryTableField id="17" name="Perda (%)" tableColumnId="16"/>
      <queryTableField id="11" name="IP" tableColumnId="10"/>
      <queryTableField id="12" name="Região Servidor" tableColumnId="11"/>
      <queryTableField id="13" name="Região Teste" tableColumnId="12"/>
      <queryTableField id="14" name="Operador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131334-ABF0-47BC-8588-71AB67E15657}" name="log" displayName="log" ref="A1:M2" tableType="queryTable" totalsRowShown="0">
  <autoFilter ref="A1:M2" xr:uid="{48A9F094-328E-4F2B-9AC0-7C1CDE88C84C}"/>
  <tableColumns count="13">
    <tableColumn id="7" xr3:uid="{EDA0DC4B-EFA0-414E-9261-4F974DF2380C}" uniqueName="7" name="Month" queryTableFieldId="6" dataDxfId="11">
      <calculatedColumnFormula>DATE(YEAR(log[[#This Row],[Date]]),MONTH(log[[#This Row],[Date]]),1)</calculatedColumnFormula>
    </tableColumn>
    <tableColumn id="1" xr3:uid="{686068BB-789B-4B9B-9586-E030EFF2A2F8}" uniqueName="1" name="Timespan" queryTableFieldId="1" dataDxfId="10"/>
    <tableColumn id="2" xr3:uid="{8E90E6F7-E45A-4827-9412-A91488FC1F3D}" uniqueName="2" name="Date" queryTableFieldId="2" dataDxfId="9"/>
    <tableColumn id="3" xr3:uid="{15AD0D8A-D4B5-4170-9043-FD0D29C71186}" uniqueName="3" name="Time" queryTableFieldId="3" dataDxfId="8"/>
    <tableColumn id="4" xr3:uid="{B0E40487-A5C4-46F2-8317-7EE20665247B}" uniqueName="4" name="Download" queryTableFieldId="4" dataDxfId="7"/>
    <tableColumn id="5" xr3:uid="{B5B0B163-CC9A-48E5-8122-B8EC600BC3DF}" uniqueName="5" name="Upload" queryTableFieldId="5" dataDxfId="6"/>
    <tableColumn id="14" xr3:uid="{9A985BCD-D589-4B99-86FE-342977B274D4}" uniqueName="14" name="Latencia (ms)" queryTableFieldId="15" dataDxfId="5"/>
    <tableColumn id="15" xr3:uid="{A0AAC531-A0CF-4F38-B9CA-4DEE4C595B94}" uniqueName="15" name="Jitter (ms)" queryTableFieldId="16"/>
    <tableColumn id="16" xr3:uid="{EFA1DC5E-0751-406F-9131-552BDBC43911}" uniqueName="16" name="Perda (%)" queryTableFieldId="17" dataDxfId="4"/>
    <tableColumn id="10" xr3:uid="{5DDC33B3-FB54-419A-93C6-585FA38CBE83}" uniqueName="10" name="IP" queryTableFieldId="11" dataDxfId="3"/>
    <tableColumn id="11" xr3:uid="{A92927C3-CEC7-4545-878F-F7E96F727D12}" uniqueName="11" name="Região Servidor" queryTableFieldId="12" dataDxfId="2"/>
    <tableColumn id="12" xr3:uid="{7D6F5E4A-DF95-435C-9E20-F8A4F3E02919}" uniqueName="12" name="Região Teste" queryTableFieldId="13" dataDxfId="1"/>
    <tableColumn id="13" xr3:uid="{AD1CDA42-9FB8-4B91-8906-A5CC93B9F6B4}" uniqueName="13" name="Operador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B94D4-8D92-4A62-AA22-99BFCBC00D95}">
  <sheetPr codeName="Sheet1"/>
  <dimension ref="A1"/>
  <sheetViews>
    <sheetView showGridLines="0" tabSelected="1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549EE-C96B-4AA4-839E-041C40524A7E}">
  <sheetPr codeName="Sheet2"/>
  <dimension ref="A1:O22"/>
  <sheetViews>
    <sheetView workbookViewId="0"/>
  </sheetViews>
  <sheetFormatPr defaultRowHeight="14.4" x14ac:dyDescent="0.3"/>
  <cols>
    <col min="1" max="1" width="12.77734375" bestFit="1" customWidth="1"/>
    <col min="2" max="2" width="13.44140625" bestFit="1" customWidth="1"/>
    <col min="3" max="3" width="10.77734375" bestFit="1" customWidth="1"/>
    <col min="5" max="5" width="12.77734375" bestFit="1" customWidth="1"/>
    <col min="6" max="6" width="19.6640625" style="5" bestFit="1" customWidth="1"/>
    <col min="7" max="7" width="17.21875" style="5" bestFit="1" customWidth="1"/>
    <col min="8" max="8" width="7.21875" style="5" customWidth="1"/>
    <col min="9" max="9" width="12.77734375" bestFit="1" customWidth="1"/>
    <col min="10" max="10" width="19.6640625" style="5" bestFit="1" customWidth="1"/>
    <col min="11" max="11" width="17.21875" style="5" bestFit="1" customWidth="1"/>
    <col min="12" max="12" width="8.109375" bestFit="1" customWidth="1"/>
    <col min="13" max="13" width="12.77734375" bestFit="1" customWidth="1"/>
    <col min="14" max="14" width="13.44140625" style="5" bestFit="1" customWidth="1"/>
    <col min="15" max="15" width="10.77734375" style="5" bestFit="1" customWidth="1"/>
    <col min="16" max="24" width="8.109375" bestFit="1" customWidth="1"/>
    <col min="25" max="25" width="11" bestFit="1" customWidth="1"/>
  </cols>
  <sheetData>
    <row r="1" spans="1:11" x14ac:dyDescent="0.3">
      <c r="B1" s="10" t="str">
        <f ca="1">LEFT(CELL("filename",$A$1),FIND("[",CELL("filename",$A$1),1)-1)</f>
        <v>E:\Dropbox\Speedtest\</v>
      </c>
    </row>
    <row r="3" spans="1:11" x14ac:dyDescent="0.3">
      <c r="A3" s="4" t="s">
        <v>5</v>
      </c>
      <c r="B3" s="5" t="s">
        <v>7</v>
      </c>
      <c r="C3" s="5" t="s">
        <v>8</v>
      </c>
      <c r="E3" s="4" t="s">
        <v>5</v>
      </c>
      <c r="F3" t="s">
        <v>16</v>
      </c>
      <c r="G3" t="s">
        <v>17</v>
      </c>
      <c r="I3" s="4" t="s">
        <v>5</v>
      </c>
      <c r="J3" t="s">
        <v>16</v>
      </c>
      <c r="K3" t="s">
        <v>17</v>
      </c>
    </row>
    <row r="4" spans="1:11" x14ac:dyDescent="0.3">
      <c r="A4" s="7">
        <v>367</v>
      </c>
      <c r="B4" s="5">
        <v>0</v>
      </c>
      <c r="C4" s="5">
        <v>0</v>
      </c>
      <c r="E4" s="11">
        <v>367</v>
      </c>
      <c r="F4" s="5">
        <v>0</v>
      </c>
      <c r="G4" s="5">
        <v>0</v>
      </c>
      <c r="I4" s="11">
        <v>367</v>
      </c>
    </row>
    <row r="5" spans="1:11" x14ac:dyDescent="0.3">
      <c r="F5"/>
      <c r="G5"/>
      <c r="I5" s="12">
        <v>0</v>
      </c>
      <c r="J5" s="5">
        <v>0</v>
      </c>
      <c r="K5" s="5">
        <v>0</v>
      </c>
    </row>
    <row r="6" spans="1:11" x14ac:dyDescent="0.3">
      <c r="J6"/>
      <c r="K6"/>
    </row>
    <row r="7" spans="1:11" x14ac:dyDescent="0.3">
      <c r="J7"/>
      <c r="K7"/>
    </row>
    <row r="8" spans="1:11" x14ac:dyDescent="0.3">
      <c r="J8"/>
      <c r="K8"/>
    </row>
    <row r="9" spans="1:11" x14ac:dyDescent="0.3">
      <c r="J9"/>
      <c r="K9"/>
    </row>
    <row r="10" spans="1:11" x14ac:dyDescent="0.3">
      <c r="J10"/>
      <c r="K10"/>
    </row>
    <row r="11" spans="1:11" x14ac:dyDescent="0.3">
      <c r="J11"/>
      <c r="K11"/>
    </row>
    <row r="12" spans="1:11" x14ac:dyDescent="0.3">
      <c r="J12"/>
      <c r="K12"/>
    </row>
    <row r="13" spans="1:11" x14ac:dyDescent="0.3">
      <c r="J13"/>
      <c r="K13"/>
    </row>
    <row r="14" spans="1:11" x14ac:dyDescent="0.3">
      <c r="J14"/>
      <c r="K14"/>
    </row>
    <row r="15" spans="1:11" x14ac:dyDescent="0.3">
      <c r="J15"/>
      <c r="K15"/>
    </row>
    <row r="16" spans="1:11" x14ac:dyDescent="0.3">
      <c r="J16"/>
      <c r="K16"/>
    </row>
    <row r="17" spans="10:11" x14ac:dyDescent="0.3">
      <c r="J17"/>
      <c r="K17"/>
    </row>
    <row r="18" spans="10:11" x14ac:dyDescent="0.3">
      <c r="J18"/>
      <c r="K18"/>
    </row>
    <row r="19" spans="10:11" x14ac:dyDescent="0.3">
      <c r="J19"/>
      <c r="K19"/>
    </row>
    <row r="20" spans="10:11" x14ac:dyDescent="0.3">
      <c r="J20"/>
      <c r="K20"/>
    </row>
    <row r="21" spans="10:11" x14ac:dyDescent="0.3">
      <c r="J21"/>
      <c r="K21"/>
    </row>
    <row r="22" spans="10:11" x14ac:dyDescent="0.3">
      <c r="J22"/>
      <c r="K22"/>
    </row>
  </sheetData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D6EC-3C38-45AB-86FA-97D08DF5C9BB}">
  <sheetPr codeName="Sheet3"/>
  <dimension ref="A1:M2"/>
  <sheetViews>
    <sheetView showGridLines="0" workbookViewId="0"/>
  </sheetViews>
  <sheetFormatPr defaultRowHeight="14.4" x14ac:dyDescent="0.3"/>
  <cols>
    <col min="1" max="1" width="11.88671875" bestFit="1" customWidth="1"/>
    <col min="2" max="2" width="15.6640625" bestFit="1" customWidth="1"/>
    <col min="3" max="3" width="10.5546875" bestFit="1" customWidth="1"/>
    <col min="4" max="4" width="8.109375" bestFit="1" customWidth="1"/>
    <col min="5" max="5" width="11.88671875" style="5" bestFit="1" customWidth="1"/>
    <col min="6" max="6" width="9.44140625" style="5" bestFit="1" customWidth="1"/>
    <col min="7" max="7" width="14.5546875" bestFit="1" customWidth="1"/>
    <col min="8" max="8" width="11.88671875" bestFit="1" customWidth="1"/>
    <col min="9" max="9" width="11.5546875" style="9" bestFit="1" customWidth="1"/>
    <col min="10" max="10" width="12.6640625" bestFit="1" customWidth="1"/>
    <col min="11" max="11" width="28.21875" bestFit="1" customWidth="1"/>
    <col min="12" max="12" width="14.109375" bestFit="1" customWidth="1"/>
    <col min="13" max="13" width="11.33203125" bestFit="1" customWidth="1"/>
    <col min="14" max="14" width="28.21875" bestFit="1" customWidth="1"/>
    <col min="15" max="15" width="14.109375" bestFit="1" customWidth="1"/>
    <col min="16" max="16" width="11.33203125" bestFit="1" customWidth="1"/>
  </cols>
  <sheetData>
    <row r="1" spans="1:13" x14ac:dyDescent="0.3">
      <c r="A1" s="6" t="s">
        <v>6</v>
      </c>
      <c r="B1" t="s">
        <v>0</v>
      </c>
      <c r="C1" t="s">
        <v>1</v>
      </c>
      <c r="D1" t="s">
        <v>2</v>
      </c>
      <c r="E1" s="5" t="s">
        <v>3</v>
      </c>
      <c r="F1" s="5" t="s">
        <v>4</v>
      </c>
      <c r="G1" t="s">
        <v>13</v>
      </c>
      <c r="H1" t="s">
        <v>14</v>
      </c>
      <c r="I1" s="9" t="s">
        <v>15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3">
      <c r="A2" s="6">
        <f>DATE(YEAR(log[[#This Row],[Date]]),MONTH(log[[#This Row],[Date]]),1)</f>
        <v>367</v>
      </c>
      <c r="B2" s="1">
        <v>367</v>
      </c>
      <c r="C2" s="2">
        <v>367</v>
      </c>
      <c r="D2" s="3">
        <v>0</v>
      </c>
      <c r="E2" s="5">
        <v>0</v>
      </c>
      <c r="F2" s="5">
        <v>0</v>
      </c>
      <c r="G2" s="8">
        <v>0</v>
      </c>
      <c r="H2">
        <v>0</v>
      </c>
      <c r="I2" s="9">
        <v>0</v>
      </c>
      <c r="J2" s="8" t="s">
        <v>18</v>
      </c>
      <c r="K2" s="8" t="s">
        <v>18</v>
      </c>
      <c r="L2" s="8" t="s">
        <v>18</v>
      </c>
      <c r="M2" s="8" t="s">
        <v>18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F6E5FE-922A-4F6C-B727-AA82071B9C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Chart</vt:lpstr>
      <vt:lpstr>DailyAvg</vt:lpstr>
      <vt:lpstr>Data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dcterms:created xsi:type="dcterms:W3CDTF">2015-06-05T18:17:20Z</dcterms:created>
  <dcterms:modified xsi:type="dcterms:W3CDTF">2020-06-05T04:32:56Z</dcterms:modified>
</cp:coreProperties>
</file>